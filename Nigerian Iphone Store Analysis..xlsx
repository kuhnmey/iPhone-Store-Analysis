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My Project\"/>
    </mc:Choice>
  </mc:AlternateContent>
  <bookViews>
    <workbookView xWindow="0" yWindow="0" windowWidth="19200" windowHeight="6560" tabRatio="603" firstSheet="2" activeTab="3"/>
  </bookViews>
  <sheets>
    <sheet name="Summary" sheetId="4" r:id="rId1"/>
    <sheet name="Nigerian Iphone Store" sheetId="8" r:id="rId2"/>
    <sheet name="Pivot Table" sheetId="3" r:id="rId3"/>
    <sheet name="Monetory Insight" sheetId="5" r:id="rId4"/>
    <sheet name="Buyers' Performance" sheetId="7" r:id="rId5"/>
  </sheets>
  <definedNames>
    <definedName name="a">#REF!</definedName>
    <definedName name="iphoe">'Pivot Table'!$P$7</definedName>
    <definedName name="iphone">'Pivot Table'!$P$7</definedName>
    <definedName name="lagos">'Pivot Table'!$P$11</definedName>
    <definedName name="percent">'Pivot Table'!$B$18</definedName>
    <definedName name="profit">'Pivot Table'!$B$10</definedName>
    <definedName name="revenue">'Pivot Table'!$B$6</definedName>
    <definedName name="sil">'Pivot Table'!$P$19</definedName>
    <definedName name="silver">'Pivot Table'!$P$19</definedName>
    <definedName name="Slicer_Model">#N/A</definedName>
    <definedName name="Slicer_Region">#N/A</definedName>
    <definedName name="sold">'Pivot Table'!$B$14</definedName>
    <definedName name="tb">'Pivot Table'!$P$15</definedName>
    <definedName name="tbb">'Pivot Table'!$P$15</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<sst xmlns="http://schemas.openxmlformats.org/spreadsheetml/2006/main" count="1010" uniqueCount="76">
  <si>
    <t>Id</t>
  </si>
  <si>
    <t>Amount</t>
  </si>
  <si>
    <t>Region</t>
  </si>
  <si>
    <t>Make</t>
  </si>
  <si>
    <t>Model</t>
  </si>
  <si>
    <t>Year of manufacture</t>
  </si>
  <si>
    <t>Color</t>
  </si>
  <si>
    <t>Condition</t>
  </si>
  <si>
    <t>Storage capacity</t>
  </si>
  <si>
    <t>Camera quality</t>
  </si>
  <si>
    <t>Battery Life</t>
  </si>
  <si>
    <t>Selling condition</t>
  </si>
  <si>
    <t>Bought condition</t>
  </si>
  <si>
    <t>Price Bought</t>
  </si>
  <si>
    <t>Price Sold</t>
  </si>
  <si>
    <t>Abuja</t>
  </si>
  <si>
    <t>Apple</t>
  </si>
  <si>
    <t>iPhone 15</t>
  </si>
  <si>
    <t>Red</t>
  </si>
  <si>
    <t>Refurbished</t>
  </si>
  <si>
    <t>512GB</t>
  </si>
  <si>
    <t>Triple 12MP</t>
  </si>
  <si>
    <t>Good</t>
  </si>
  <si>
    <t>Port Harcourt</t>
  </si>
  <si>
    <t>iPhone 14</t>
  </si>
  <si>
    <t>Black</t>
  </si>
  <si>
    <t>Dual 12MP</t>
  </si>
  <si>
    <t>Used</t>
  </si>
  <si>
    <t>Lagos</t>
  </si>
  <si>
    <t>Silver</t>
  </si>
  <si>
    <t>Fair</t>
  </si>
  <si>
    <t>Benin City</t>
  </si>
  <si>
    <t>White</t>
  </si>
  <si>
    <t>Like New</t>
  </si>
  <si>
    <t>1TB</t>
  </si>
  <si>
    <t>Excellent</t>
  </si>
  <si>
    <t>Ibadan</t>
  </si>
  <si>
    <t>64GB</t>
  </si>
  <si>
    <t>Needs Repair</t>
  </si>
  <si>
    <t>iPhone 11</t>
  </si>
  <si>
    <t>256GB</t>
  </si>
  <si>
    <t>iPhone 13</t>
  </si>
  <si>
    <t>Blue</t>
  </si>
  <si>
    <t>New</t>
  </si>
  <si>
    <t>iPhone 12</t>
  </si>
  <si>
    <t>Purple</t>
  </si>
  <si>
    <t>12MP</t>
  </si>
  <si>
    <t>48MP</t>
  </si>
  <si>
    <t>128GB</t>
  </si>
  <si>
    <t>Gold</t>
  </si>
  <si>
    <t>Profit</t>
  </si>
  <si>
    <t>Sum of Amount</t>
  </si>
  <si>
    <t>Total Revenue</t>
  </si>
  <si>
    <t>Profit Made</t>
  </si>
  <si>
    <t>Sum of Price Sold</t>
  </si>
  <si>
    <t>Row Labels</t>
  </si>
  <si>
    <t>Grand Total</t>
  </si>
  <si>
    <t>Average of Price Sold</t>
  </si>
  <si>
    <t>Revenue</t>
  </si>
  <si>
    <t>Count of Model</t>
  </si>
  <si>
    <t>Units Sold by Region</t>
  </si>
  <si>
    <t>Average of Battery Life</t>
  </si>
  <si>
    <t>Average Battery Life by Selling Condition</t>
  </si>
  <si>
    <t>Average Selling Price by Year of Manufacture</t>
  </si>
  <si>
    <t>Unit Sold by Colour</t>
  </si>
  <si>
    <t>Average Selling Price by State</t>
  </si>
  <si>
    <t>Storage Capacity by Unit Sold and Price</t>
  </si>
  <si>
    <t>Conditions by Average selling Price</t>
  </si>
  <si>
    <t>Most Expensive Model</t>
  </si>
  <si>
    <t>% Profit</t>
  </si>
  <si>
    <t>Iphone Sold</t>
  </si>
  <si>
    <t>State with the Most Sales</t>
  </si>
  <si>
    <t>Most Purchased Storage Capacity</t>
  </si>
  <si>
    <t>Most Purchased Color</t>
  </si>
  <si>
    <t>KPI table 1</t>
  </si>
  <si>
    <t>KPI table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</si>
</sst>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t;=1000000]\₦0.0,,&quot;M&quot;;[&gt;=1000]\₦0.0,&quot;K&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rgb="FF5E5E5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9" fontId="0" fillId="0" borderId="0" xfId="0" applyNumberForma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18" fillId="0" borderId="0" xfId="0" applyFont="1" applyAlignment="1">
      <alignment horizontal="center"/>
    </xf>
    <xf numFmtId="0" fontId="0" fillId="0" borderId="0" xfId="0" applyAlignment="1">
      <alignment horizontal="center"/>
    </xf>
    <xf numFmtId="9" fontId="0" fillId="0" borderId="0" xfId="0" applyNumberFormat="1" applyAlignment="1">
      <alignment horizontal="right"/>
    </xf>
    <xf numFmtId="0" fontId="0" fillId="34" borderId="0" xfId="0"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164" formatCode="[&gt;=1000000]\₦0.0,,&quot;M&quot;;[&gt;=1000]\₦0.0,&quot;K&quot;;0"/>
    </dxf>
    <dxf>
      <numFmt numFmtId="164" formatCode="[&gt;=1000000]\₦0.0,,&quot;M&quot;;[&gt;=1000]\₦0.0,&quot;K&quot;;0"/>
    </dxf>
    <dxf>
      <numFmt numFmtId="1" formatCode="0"/>
    </dxf>
    <dxf>
      <numFmt numFmtId="169" formatCode="0.0"/>
    </dxf>
    <dxf>
      <numFmt numFmtId="2" formatCode="0.00"/>
    </dxf>
    <dxf>
      <numFmt numFmtId="168" formatCode="0.000"/>
    </dxf>
    <dxf>
      <numFmt numFmtId="164" formatCode="[&gt;=1000000]\₦0.0,,&quot;M&quot;;[&gt;=1000]\₦0.0,&quot;K&quot;;0"/>
    </dxf>
    <dxf>
      <numFmt numFmtId="164" formatCode="[&gt;=1000000]\₦0.0,,&quot;M&quot;;[&gt;=1000]\₦0.0,&quot;K&quot;;0"/>
    </dxf>
    <dxf>
      <numFmt numFmtId="164" formatCode="[&gt;=1000000]\₦0.0,,&quot;M&quot;;[&gt;=1000]\₦0.0,&quot;K&quot;;0"/>
    </dxf>
    <dxf>
      <numFmt numFmtId="1" formatCode="0"/>
    </dxf>
    <dxf>
      <numFmt numFmtId="169" formatCode="0.0"/>
    </dxf>
    <dxf>
      <numFmt numFmtId="2" formatCode="0.00"/>
    </dxf>
    <dxf>
      <alignment horizontal="center" readingOrder="0"/>
    </dxf>
    <dxf>
      <alignment horizontal="center" readingOrder="0"/>
    </dxf>
    <dxf>
      <numFmt numFmtId="164" formatCode="[&gt;=1000000]\₦0.0,,&quot;M&quot;;[&gt;=1000]\₦0.0,&quot;K&quot;;0"/>
    </dxf>
    <dxf>
      <numFmt numFmtId="1" formatCode="0"/>
    </dxf>
    <dxf>
      <numFmt numFmtId="169" formatCode="0.0"/>
    </dxf>
    <dxf>
      <alignment horizontal="center" readingOrder="0"/>
    </dxf>
    <dxf>
      <alignment horizontal="center" readingOrder="0"/>
    </dxf>
    <dxf>
      <alignment horizontal="right" readingOrder="0"/>
    </dxf>
    <dxf>
      <alignment horizontal="center" readingOrder="0"/>
    </dxf>
    <dxf>
      <numFmt numFmtId="13" formatCode="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2" formatCode="0.00"/>
    </dxf>
    <dxf>
      <numFmt numFmtId="168" formatCode="0.000"/>
    </dxf>
    <dxf>
      <numFmt numFmtId="167" formatCode="0.0000"/>
    </dxf>
    <dxf>
      <numFmt numFmtId="166" formatCode="0.00000"/>
    </dxf>
    <dxf>
      <numFmt numFmtId="170" formatCode="0.000000"/>
    </dxf>
    <dxf>
      <numFmt numFmtId="171" formatCode="0.0000000"/>
    </dxf>
    <dxf>
      <alignment horizontal="center" readingOrder="0"/>
    </dxf>
    <dxf>
      <alignment horizontal="center" readingOrder="0"/>
    </dxf>
    <dxf>
      <alignment horizontal="right" readingOrder="0"/>
    </dxf>
    <dxf>
      <alignment horizontal="center" readingOrder="0"/>
    </dxf>
    <dxf>
      <numFmt numFmtId="1" formatCode="0"/>
    </dxf>
    <dxf>
      <numFmt numFmtId="169" formatCode="0.0"/>
    </dxf>
    <dxf>
      <numFmt numFmtId="2" formatCode="0.00"/>
    </dxf>
    <dxf>
      <numFmt numFmtId="168" formatCode="0.000"/>
    </dxf>
    <dxf>
      <numFmt numFmtId="167" formatCode="0.0000"/>
    </dxf>
    <dxf>
      <numFmt numFmtId="166" formatCode="0.00000"/>
    </dxf>
    <dxf>
      <numFmt numFmtId="170" formatCode="0.000000"/>
    </dxf>
    <dxf>
      <numFmt numFmtId="171" formatCode="0.0000000"/>
    </dxf>
    <dxf>
      <numFmt numFmtId="164" formatCode="[&gt;=1000000]\₦0.0,,&quot;M&quot;;[&gt;=1000]\₦0.0,&quot;K&quot;;0"/>
    </dxf>
    <dxf>
      <numFmt numFmtId="1" formatCode="0"/>
    </dxf>
    <dxf>
      <numFmt numFmtId="169" formatCode="0.0"/>
    </dxf>
    <dxf>
      <numFmt numFmtId="1" formatCode="0"/>
    </dxf>
    <dxf>
      <numFmt numFmtId="169" formatCode="0.0"/>
    </dxf>
    <dxf>
      <numFmt numFmtId="2" formatCode="0.00"/>
    </dxf>
    <dxf>
      <numFmt numFmtId="168" formatCode="0.000"/>
    </dxf>
    <dxf>
      <alignment horizontal="center" readingOrder="0"/>
    </dxf>
    <dxf>
      <alignment horizontal="center" readingOrder="0"/>
    </dxf>
    <dxf>
      <numFmt numFmtId="164" formatCode="[&gt;=1000000]\₦0.0,,&quot;M&quot;;[&gt;=1000]\₦0.0,&quot;K&quot;;0"/>
    </dxf>
    <dxf>
      <numFmt numFmtId="1" formatCode="0"/>
    </dxf>
    <dxf>
      <numFmt numFmtId="164" formatCode="[&gt;=1000000]\₦0.0,,&quot;M&quot;;[&gt;=1000]\₦0.0,&quot;K&quot;;0"/>
    </dxf>
    <dxf>
      <numFmt numFmtId="164" formatCode="[&gt;=1000000]\₦0.0,,&quot;M&quot;;[&gt;=1000]\₦0.0,&quot;K&quot;;0"/>
    </dxf>
    <dxf>
      <numFmt numFmtId="165" formatCode="[$₦-466]\ #,##0.00"/>
    </dxf>
    <dxf>
      <font>
        <b/>
        <i val="0"/>
        <sz val="12"/>
        <color theme="0" tint="-0.14990691854609822"/>
      </font>
      <fill>
        <patternFill>
          <bgColor theme="1" tint="4.9989318521683403E-2"/>
        </patternFill>
      </fill>
      <border>
        <left style="thin">
          <color theme="1" tint="4.9989318521683403E-2"/>
        </left>
        <right style="thin">
          <color theme="1" tint="4.9989318521683403E-2"/>
        </right>
        <top style="thin">
          <color theme="1" tint="4.9989318521683403E-2"/>
        </top>
        <bottom style="thin">
          <color theme="1" tint="4.9989318521683403E-2"/>
        </bottom>
      </border>
    </dxf>
  </dxfs>
  <tableStyles count="1" defaultTableStyle="TableStyleMedium2" defaultPivotStyle="PivotStyleLight16">
    <tableStyle name="Slicer Style 1" pivot="0" table="0" count="3">
      <tableStyleElement type="wholeTable" dxfId="61"/>
    </tableStyle>
  </tableStyles>
  <colors>
    <mruColors>
      <color rgb="FF5E5E5E"/>
      <color rgb="FF6B6B6B"/>
    </mruColors>
  </colors>
  <extLst>
    <ext xmlns:x14="http://schemas.microsoft.com/office/spreadsheetml/2009/9/main" uri="{46F421CA-312F-682f-3DD2-61675219B42D}">
      <x14:dxfs count="2">
        <dxf>
          <font>
            <b val="0"/>
            <i val="0"/>
            <sz val="12"/>
          </font>
        </dxf>
        <dxf>
          <font>
            <b/>
            <i val="0"/>
            <sz val="1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Table!PivotTable15</c:name>
    <c:fmtId val="5"/>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alpha val="88000"/>
            </a:schemeClr>
          </a:solidFill>
          <a:ln>
            <a:noFill/>
          </a:ln>
          <a:effectLst/>
          <a:scene3d>
            <a:camera prst="orthographicFront"/>
            <a:lightRig rig="threePt" dir="t"/>
          </a:scene3d>
          <a:sp3d prstMaterial="flat"/>
        </c:spPr>
        <c:marker>
          <c:symbol val="none"/>
        </c:marker>
        <c:dLbl>
          <c:idx val="0"/>
          <c:layout/>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'Pivot Table'!$F$6</c:f>
              <c:strCache>
                <c:ptCount val="1"/>
                <c:pt idx="0">
                  <c:v>Total</c:v>
                </c:pt>
              </c:strCache>
            </c:strRef>
          </c:tx>
          <c:spPr>
            <a:solidFill>
              <a:schemeClr val="bg1">
                <a:lumMod val="65000"/>
                <a:alpha val="88000"/>
              </a:schemeClr>
            </a:solidFill>
            <a:ln>
              <a:noFill/>
            </a:ln>
            <a:effectLst/>
            <a:scene3d>
              <a:camera prst="orthographicFront"/>
              <a:lightRig rig="threePt" dir="t"/>
            </a:scene3d>
            <a:sp3d prstMaterial="flat"/>
          </c:spPr>
          <c:invertIfNegative val="0"/>
          <c:dLbls>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Table'!$E$7:$E$12</c:f>
              <c:strCache>
                <c:ptCount val="5"/>
                <c:pt idx="0">
                  <c:v>iPhone 15</c:v>
                </c:pt>
                <c:pt idx="1">
                  <c:v>iPhone 14</c:v>
                </c:pt>
                <c:pt idx="2">
                  <c:v>iPhone 13</c:v>
                </c:pt>
                <c:pt idx="3">
                  <c:v>iPhone 12</c:v>
                </c:pt>
                <c:pt idx="4">
                  <c:v>iPhone 11</c:v>
                </c:pt>
              </c:strCache>
            </c:strRef>
          </c:cat>
          <c:val>
            <c:numRef>
              <c:f>'Pivot Table'!$F$7:$F$12</c:f>
              <c:numCache>
                <c:formatCode>[&gt;=1000000]\₦0.0,,"M";[&gt;=1000]\₦0.0,"K";0</c:formatCode>
                <c:ptCount val="5"/>
                <c:pt idx="0">
                  <c:v>15833032</c:v>
                </c:pt>
                <c:pt idx="1">
                  <c:v>11903312</c:v>
                </c:pt>
                <c:pt idx="2">
                  <c:v>18828391</c:v>
                </c:pt>
                <c:pt idx="3">
                  <c:v>12421974</c:v>
                </c:pt>
                <c:pt idx="4">
                  <c:v>8628819</c:v>
                </c:pt>
              </c:numCache>
            </c:numRef>
          </c:val>
          <c:extLst>
            <c:ext xmlns:c16="http://schemas.microsoft.com/office/drawing/2014/chart" uri="{C3380CC4-5D6E-409C-BE32-E72D297353CC}">
              <c16:uniqueId val="{00000003-5D11-4D8F-9739-C1A9954C236A}"/>
            </c:ext>
          </c:extLst>
        </c:ser>
        <c:dLbls>
          <c:showLegendKey val="0"/>
          <c:showVal val="1"/>
          <c:showCatName val="0"/>
          <c:showSerName val="0"/>
          <c:showPercent val="0"/>
          <c:showBubbleSize val="0"/>
        </c:dLbls>
        <c:gapWidth val="84"/>
        <c:gapDepth val="53"/>
        <c:shape val="box"/>
        <c:axId val="522291504"/>
        <c:axId val="522295112"/>
        <c:axId val="0"/>
      </c:bar3DChart>
      <c:catAx>
        <c:axId val="522291504"/>
        <c:scaling>
          <c:orientation val="minMax"/>
        </c:scaling>
        <c:delete val="1"/>
        <c:axPos val="b"/>
        <c:numFmt formatCode="General" sourceLinked="1"/>
        <c:majorTickMark val="none"/>
        <c:minorTickMark val="none"/>
        <c:tickLblPos val="nextTo"/>
        <c:crossAx val="522295112"/>
        <c:crosses val="autoZero"/>
        <c:auto val="1"/>
        <c:lblAlgn val="ctr"/>
        <c:lblOffset val="100"/>
        <c:noMultiLvlLbl val="0"/>
      </c:catAx>
      <c:valAx>
        <c:axId val="522295112"/>
        <c:scaling>
          <c:orientation val="minMax"/>
        </c:scaling>
        <c:delete val="1"/>
        <c:axPos val="l"/>
        <c:numFmt formatCode="[&gt;=1000000]\₦0.0,,&quot;M&quot;;[&gt;=1000]\₦0.0,&quot;K&quot;;0" sourceLinked="1"/>
        <c:majorTickMark val="out"/>
        <c:minorTickMark val="none"/>
        <c:tickLblPos val="nextTo"/>
        <c:crossAx val="522291504"/>
        <c:crosses val="autoZero"/>
        <c:crossBetween val="between"/>
      </c:valAx>
      <c:spPr>
        <a:noFill/>
        <a:ln>
          <a:noFill/>
        </a:ln>
        <a:effectLst/>
      </c:spPr>
    </c:plotArea>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Table!PivotTable18</c:name>
    <c:fmtId val="2"/>
  </c:pivotSource>
  <c:chart>
    <c:autoTitleDeleted val="1"/>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ln w="31750" cap="rnd">
            <a:solidFill>
              <a:schemeClr val="bg1">
                <a:lumMod val="65000"/>
              </a:schemeClr>
            </a:solidFill>
            <a:round/>
          </a:ln>
          <a:effectLst/>
        </c:spPr>
        <c:marker>
          <c:symbol val="circle"/>
          <c:size val="17"/>
          <c:spPr>
            <a:solidFill>
              <a:schemeClr val="tx1">
                <a:lumMod val="50000"/>
                <a:lumOff val="50000"/>
                <a:alpha val="78000"/>
              </a:schemeClr>
            </a:solidFill>
            <a:ln>
              <a:solidFill>
                <a:schemeClr val="tx1">
                  <a:lumMod val="50000"/>
                  <a:lumOff val="50000"/>
                </a:schemeClr>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609738143768202E-2"/>
          <c:y val="5.8185591755804657E-2"/>
          <c:w val="0.93888888888888888"/>
          <c:h val="0.70243526417919966"/>
        </c:manualLayout>
      </c:layout>
      <c:lineChart>
        <c:grouping val="standard"/>
        <c:varyColors val="0"/>
        <c:ser>
          <c:idx val="0"/>
          <c:order val="0"/>
          <c:tx>
            <c:strRef>
              <c:f>'Pivot Table'!$F$38</c:f>
              <c:strCache>
                <c:ptCount val="1"/>
                <c:pt idx="0">
                  <c:v>Total</c:v>
                </c:pt>
              </c:strCache>
            </c:strRef>
          </c:tx>
          <c:spPr>
            <a:ln w="31750" cap="rnd">
              <a:solidFill>
                <a:schemeClr val="bg1">
                  <a:lumMod val="65000"/>
                </a:schemeClr>
              </a:solidFill>
              <a:round/>
            </a:ln>
            <a:effectLst/>
          </c:spPr>
          <c:marker>
            <c:symbol val="circle"/>
            <c:size val="17"/>
            <c:spPr>
              <a:solidFill>
                <a:schemeClr val="tx1">
                  <a:lumMod val="50000"/>
                  <a:lumOff val="50000"/>
                  <a:alpha val="78000"/>
                </a:schemeClr>
              </a:solidFill>
              <a:ln>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Table'!$E$39:$E$43</c:f>
              <c:strCache>
                <c:ptCount val="4"/>
                <c:pt idx="0">
                  <c:v>Excellent</c:v>
                </c:pt>
                <c:pt idx="1">
                  <c:v>Fair</c:v>
                </c:pt>
                <c:pt idx="2">
                  <c:v>Good</c:v>
                </c:pt>
                <c:pt idx="3">
                  <c:v>Needs Repair</c:v>
                </c:pt>
              </c:strCache>
            </c:strRef>
          </c:cat>
          <c:val>
            <c:numRef>
              <c:f>'Pivot Table'!$F$39:$F$43</c:f>
              <c:numCache>
                <c:formatCode>[&gt;=1000000]\₦0.0,,"M";[&gt;=1000]\₦0.0,"K";0</c:formatCode>
                <c:ptCount val="4"/>
                <c:pt idx="0">
                  <c:v>688357.18181818177</c:v>
                </c:pt>
                <c:pt idx="1">
                  <c:v>630601.48275862064</c:v>
                </c:pt>
                <c:pt idx="2">
                  <c:v>700988.54166666663</c:v>
                </c:pt>
                <c:pt idx="3">
                  <c:v>694420.08</c:v>
                </c:pt>
              </c:numCache>
            </c:numRef>
          </c:val>
          <c:smooth val="0"/>
          <c:extLst>
            <c:ext xmlns:c16="http://schemas.microsoft.com/office/drawing/2014/chart" uri="{C3380CC4-5D6E-409C-BE32-E72D297353CC}">
              <c16:uniqueId val="{00000000-9447-4D9D-AAD6-21B855186E78}"/>
            </c:ext>
          </c:extLst>
        </c:ser>
        <c:dLbls>
          <c:dLblPos val="ctr"/>
          <c:showLegendKey val="0"/>
          <c:showVal val="1"/>
          <c:showCatName val="0"/>
          <c:showSerName val="0"/>
          <c:showPercent val="0"/>
          <c:showBubbleSize val="0"/>
        </c:dLbls>
        <c:marker val="1"/>
        <c:smooth val="0"/>
        <c:axId val="1171999632"/>
        <c:axId val="1172000616"/>
      </c:lineChart>
      <c:catAx>
        <c:axId val="1171999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lumMod val="85000"/>
                  </a:schemeClr>
                </a:solidFill>
                <a:latin typeface="+mn-lt"/>
                <a:ea typeface="+mn-ea"/>
                <a:cs typeface="+mn-cs"/>
              </a:defRPr>
            </a:pPr>
            <a:endParaRPr lang="en-US"/>
          </a:p>
        </c:txPr>
        <c:crossAx val="1172000616"/>
        <c:crosses val="autoZero"/>
        <c:auto val="1"/>
        <c:lblAlgn val="ctr"/>
        <c:lblOffset val="100"/>
        <c:noMultiLvlLbl val="0"/>
      </c:catAx>
      <c:valAx>
        <c:axId val="1172000616"/>
        <c:scaling>
          <c:orientation val="minMax"/>
        </c:scaling>
        <c:delete val="1"/>
        <c:axPos val="l"/>
        <c:numFmt formatCode="[&gt;=1000000]\₦0.0,,&quot;M&quot;;[&gt;=1000]\₦0.0,&quot;K&quot;;0" sourceLinked="1"/>
        <c:majorTickMark val="none"/>
        <c:minorTickMark val="none"/>
        <c:tickLblPos val="nextTo"/>
        <c:crossAx val="1171999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Table!PivotTable22</c:name>
    <c:fmtId val="3"/>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bg1">
              <a:lumMod val="65000"/>
            </a:schemeClr>
          </a:solidFill>
          <a:ln>
            <a:noFill/>
          </a:ln>
          <a:effectLst/>
          <a:scene3d>
            <a:camera prst="orthographicFront"/>
            <a:lightRig rig="threePt" dir="t"/>
          </a:scene3d>
          <a:sp3d prstMaterial="flat"/>
        </c:spPr>
        <c:marker>
          <c:symbol val="none"/>
        </c:marker>
        <c:dLbl>
          <c:idx val="0"/>
          <c:layout/>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1.9205099362579674E-2"/>
          <c:w val="0.9905890415862727"/>
          <c:h val="0.87901721646623887"/>
        </c:manualLayout>
      </c:layout>
      <c:bar3DChart>
        <c:barDir val="col"/>
        <c:grouping val="standard"/>
        <c:varyColors val="0"/>
        <c:ser>
          <c:idx val="0"/>
          <c:order val="0"/>
          <c:tx>
            <c:strRef>
              <c:f>'Pivot Table'!$J$37</c:f>
              <c:strCache>
                <c:ptCount val="1"/>
                <c:pt idx="0">
                  <c:v>Total</c:v>
                </c:pt>
              </c:strCache>
            </c:strRef>
          </c:tx>
          <c:spPr>
            <a:solidFill>
              <a:schemeClr val="bg1">
                <a:lumMod val="65000"/>
              </a:schemeClr>
            </a:solidFill>
            <a:ln>
              <a:noFill/>
            </a:ln>
            <a:effectLst/>
            <a:scene3d>
              <a:camera prst="orthographicFront"/>
              <a:lightRig rig="threePt" dir="t"/>
            </a:scene3d>
            <a:sp3d prstMaterial="flat"/>
          </c:spPr>
          <c:invertIfNegative val="0"/>
          <c:dLbls>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Table'!$I$38:$I$44</c:f>
              <c:strCache>
                <c:ptCount val="6"/>
                <c:pt idx="0">
                  <c:v>2019</c:v>
                </c:pt>
                <c:pt idx="1">
                  <c:v>2020</c:v>
                </c:pt>
                <c:pt idx="2">
                  <c:v>2021</c:v>
                </c:pt>
                <c:pt idx="3">
                  <c:v>2022</c:v>
                </c:pt>
                <c:pt idx="4">
                  <c:v>2023</c:v>
                </c:pt>
                <c:pt idx="5">
                  <c:v>2024</c:v>
                </c:pt>
              </c:strCache>
            </c:strRef>
          </c:cat>
          <c:val>
            <c:numRef>
              <c:f>'Pivot Table'!$J$38:$J$44</c:f>
              <c:numCache>
                <c:formatCode>[&gt;=1000000]\₦0.0,,"M";[&gt;=1000]\₦0.0,"K";0</c:formatCode>
                <c:ptCount val="6"/>
                <c:pt idx="0">
                  <c:v>622234.875</c:v>
                </c:pt>
                <c:pt idx="1">
                  <c:v>578678</c:v>
                </c:pt>
                <c:pt idx="2">
                  <c:v>699460.84615384613</c:v>
                </c:pt>
                <c:pt idx="3">
                  <c:v>724737.93333333335</c:v>
                </c:pt>
                <c:pt idx="4">
                  <c:v>816752.63157894742</c:v>
                </c:pt>
                <c:pt idx="5">
                  <c:v>613510.90909090906</c:v>
                </c:pt>
              </c:numCache>
            </c:numRef>
          </c:val>
          <c:extLst>
            <c:ext xmlns:c16="http://schemas.microsoft.com/office/drawing/2014/chart" uri="{C3380CC4-5D6E-409C-BE32-E72D297353CC}">
              <c16:uniqueId val="{00000000-07A4-40AC-AF3E-FA2599DA5B2B}"/>
            </c:ext>
          </c:extLst>
        </c:ser>
        <c:dLbls>
          <c:showLegendKey val="0"/>
          <c:showVal val="1"/>
          <c:showCatName val="0"/>
          <c:showSerName val="0"/>
          <c:showPercent val="0"/>
          <c:showBubbleSize val="0"/>
        </c:dLbls>
        <c:gapWidth val="84"/>
        <c:gapDepth val="53"/>
        <c:shape val="box"/>
        <c:axId val="452543152"/>
        <c:axId val="452544792"/>
        <c:axId val="446948088"/>
      </c:bar3DChart>
      <c:catAx>
        <c:axId val="45254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452544792"/>
        <c:crosses val="autoZero"/>
        <c:auto val="1"/>
        <c:lblAlgn val="ctr"/>
        <c:lblOffset val="100"/>
        <c:noMultiLvlLbl val="0"/>
      </c:catAx>
      <c:valAx>
        <c:axId val="452544792"/>
        <c:scaling>
          <c:orientation val="minMax"/>
        </c:scaling>
        <c:delete val="1"/>
        <c:axPos val="l"/>
        <c:numFmt formatCode="[&gt;=1000000]\₦0.0,,&quot;M&quot;;[&gt;=1000]\₦0.0,&quot;K&quot;;0" sourceLinked="1"/>
        <c:majorTickMark val="out"/>
        <c:minorTickMark val="none"/>
        <c:tickLblPos val="nextTo"/>
        <c:crossAx val="452543152"/>
        <c:crosses val="autoZero"/>
        <c:crossBetween val="between"/>
      </c:valAx>
      <c:serAx>
        <c:axId val="446948088"/>
        <c:scaling>
          <c:orientation val="minMax"/>
        </c:scaling>
        <c:delete val="1"/>
        <c:axPos val="b"/>
        <c:majorTickMark val="none"/>
        <c:minorTickMark val="none"/>
        <c:tickLblPos val="nextTo"/>
        <c:crossAx val="452544792"/>
        <c:crosses val="autoZero"/>
      </c:serAx>
      <c:spPr>
        <a:noFill/>
        <a:ln>
          <a:noFill/>
        </a:ln>
        <a:effectLst/>
      </c:spPr>
    </c:plotArea>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Table!PivotTable17</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bg1">
              <a:lumMod val="50000"/>
            </a:schemeClr>
          </a:solidFill>
          <a:ln>
            <a:noFill/>
          </a:ln>
          <a:effectLst/>
        </c:spPr>
        <c:marker>
          <c:symbol val="none"/>
        </c:marker>
      </c:pivotFmt>
      <c:pivotFmt>
        <c:idx val="5"/>
        <c:spPr>
          <a:solidFill>
            <a:schemeClr val="accent1"/>
          </a:solidFill>
          <a:ln w="28575" cap="rnd">
            <a:solidFill>
              <a:schemeClr val="bg2">
                <a:lumMod val="10000"/>
              </a:schemeClr>
            </a:solidFill>
            <a:round/>
          </a:ln>
          <a:effectLst/>
        </c:spPr>
        <c:marker>
          <c:symbol val="circle"/>
          <c:size val="5"/>
          <c:spPr>
            <a:solidFill>
              <a:schemeClr val="bg1">
                <a:lumMod val="95000"/>
              </a:schemeClr>
            </a:solidFill>
            <a:ln w="9525">
              <a:noFill/>
            </a:ln>
            <a:effectLst/>
          </c:spPr>
        </c:marker>
      </c:pivotFmt>
      <c:pivotFmt>
        <c:idx val="6"/>
        <c:spPr>
          <a:solidFill>
            <a:schemeClr val="bg1">
              <a:lumMod val="50000"/>
            </a:schemeClr>
          </a:solidFill>
          <a:ln>
            <a:noFill/>
          </a:ln>
          <a:effectLst/>
        </c:spPr>
        <c:marker>
          <c:symbol val="none"/>
        </c:marker>
      </c:pivotFmt>
      <c:pivotFmt>
        <c:idx val="7"/>
        <c:spPr>
          <a:solidFill>
            <a:schemeClr val="accent1"/>
          </a:solidFill>
          <a:ln w="28575" cap="rnd">
            <a:solidFill>
              <a:schemeClr val="bg2">
                <a:lumMod val="10000"/>
              </a:schemeClr>
            </a:solidFill>
            <a:round/>
          </a:ln>
          <a:effectLst/>
        </c:spPr>
        <c:marker>
          <c:symbol val="circle"/>
          <c:size val="5"/>
          <c:spPr>
            <a:solidFill>
              <a:schemeClr val="bg1">
                <a:lumMod val="95000"/>
              </a:schemeClr>
            </a:solidFill>
            <a:ln w="9525">
              <a:noFill/>
            </a:ln>
            <a:effectLst/>
          </c:spPr>
        </c:marker>
      </c:pivotFmt>
      <c:pivotFmt>
        <c:idx val="8"/>
        <c:spPr>
          <a:solidFill>
            <a:schemeClr val="bg1">
              <a:lumMod val="50000"/>
            </a:schemeClr>
          </a:solidFill>
          <a:ln>
            <a:noFill/>
          </a:ln>
          <a:effectLst/>
        </c:spPr>
        <c:marker>
          <c:symbol val="none"/>
        </c:marker>
      </c:pivotFmt>
      <c:pivotFmt>
        <c:idx val="9"/>
        <c:spPr>
          <a:solidFill>
            <a:schemeClr val="accent1"/>
          </a:solidFill>
          <a:ln w="28575" cap="rnd">
            <a:solidFill>
              <a:schemeClr val="bg2">
                <a:lumMod val="10000"/>
              </a:schemeClr>
            </a:solidFill>
            <a:round/>
          </a:ln>
          <a:effectLst/>
        </c:spPr>
        <c:marker>
          <c:symbol val="circle"/>
          <c:size val="5"/>
          <c:spPr>
            <a:solidFill>
              <a:schemeClr val="bg1">
                <a:lumMod val="95000"/>
              </a:schemeClr>
            </a:solidFill>
            <a:ln w="9525">
              <a:noFill/>
            </a:ln>
            <a:effectLst/>
          </c:spPr>
        </c:marker>
      </c:pivotFmt>
      <c:pivotFmt>
        <c:idx val="10"/>
        <c:spPr>
          <a:solidFill>
            <a:schemeClr val="accent1"/>
          </a:solidFill>
          <a:ln w="28575" cap="rnd">
            <a:solidFill>
              <a:schemeClr val="tx1">
                <a:lumMod val="75000"/>
                <a:lumOff val="25000"/>
              </a:schemeClr>
            </a:solidFill>
            <a:round/>
          </a:ln>
          <a:effectLst/>
        </c:spPr>
        <c:marker>
          <c:symbol val="circle"/>
          <c:size val="5"/>
          <c:spPr>
            <a:solidFill>
              <a:schemeClr val="bg1">
                <a:lumMod val="95000"/>
              </a:schemeClr>
            </a:solidFill>
            <a:ln w="9525">
              <a:noFill/>
            </a:ln>
            <a:effectLst/>
          </c:spPr>
        </c:marker>
      </c:pivotFmt>
      <c:pivotFmt>
        <c:idx val="11"/>
        <c:spPr>
          <a:solidFill>
            <a:schemeClr val="bg1">
              <a:lumMod val="50000"/>
              <a:alpha val="65000"/>
            </a:schemeClr>
          </a:solidFill>
          <a:ln>
            <a:noFill/>
          </a:ln>
          <a:effectLst/>
        </c:spPr>
        <c:marker>
          <c:symbol val="none"/>
        </c:marker>
      </c:pivotFmt>
      <c:pivotFmt>
        <c:idx val="12"/>
        <c:spPr>
          <a:solidFill>
            <a:schemeClr val="bg1">
              <a:lumMod val="65000"/>
              <a:alpha val="70000"/>
            </a:schemeClr>
          </a:solidFill>
          <a:ln>
            <a:noFill/>
          </a:ln>
          <a:effectLst/>
        </c:spPr>
        <c:marker>
          <c:symbol val="none"/>
        </c:marker>
      </c:pivotFmt>
      <c:pivotFmt>
        <c:idx val="13"/>
        <c:spPr>
          <a:ln w="28575" cap="rnd">
            <a:solidFill>
              <a:schemeClr val="tx1">
                <a:lumMod val="50000"/>
                <a:lumOff val="50000"/>
              </a:schemeClr>
            </a:solidFill>
            <a:round/>
          </a:ln>
          <a:effectLst/>
        </c:spPr>
        <c:marker>
          <c:symbol val="circle"/>
          <c:size val="5"/>
          <c:spPr>
            <a:solidFill>
              <a:schemeClr val="bg1">
                <a:lumMod val="95000"/>
              </a:schemeClr>
            </a:solidFill>
            <a:ln w="9525">
              <a:noFill/>
            </a:ln>
            <a:effectLst/>
          </c:spPr>
        </c:marker>
      </c:pivotFmt>
    </c:pivotFmts>
    <c:plotArea>
      <c:layout>
        <c:manualLayout>
          <c:layoutTarget val="inner"/>
          <c:xMode val="edge"/>
          <c:yMode val="edge"/>
          <c:x val="0.13487348728928508"/>
          <c:y val="4.9219484049387828E-2"/>
          <c:w val="0.8103519247594051"/>
          <c:h val="0.80657626130067073"/>
        </c:manualLayout>
      </c:layout>
      <c:barChart>
        <c:barDir val="col"/>
        <c:grouping val="clustered"/>
        <c:varyColors val="0"/>
        <c:ser>
          <c:idx val="0"/>
          <c:order val="0"/>
          <c:tx>
            <c:strRef>
              <c:f>'Pivot Table'!$F$27</c:f>
              <c:strCache>
                <c:ptCount val="1"/>
                <c:pt idx="0">
                  <c:v>Count of Model</c:v>
                </c:pt>
              </c:strCache>
            </c:strRef>
          </c:tx>
          <c:spPr>
            <a:solidFill>
              <a:schemeClr val="bg1">
                <a:lumMod val="65000"/>
                <a:alpha val="70000"/>
              </a:schemeClr>
            </a:solidFill>
            <a:ln>
              <a:noFill/>
            </a:ln>
            <a:effectLst/>
          </c:spPr>
          <c:invertIfNegative val="0"/>
          <c:cat>
            <c:strRef>
              <c:f>'Pivot Table'!$E$28:$E$33</c:f>
              <c:strCache>
                <c:ptCount val="5"/>
                <c:pt idx="0">
                  <c:v>128GB</c:v>
                </c:pt>
                <c:pt idx="1">
                  <c:v>1TB</c:v>
                </c:pt>
                <c:pt idx="2">
                  <c:v>256GB</c:v>
                </c:pt>
                <c:pt idx="3">
                  <c:v>512GB</c:v>
                </c:pt>
                <c:pt idx="4">
                  <c:v>64GB</c:v>
                </c:pt>
              </c:strCache>
            </c:strRef>
          </c:cat>
          <c:val>
            <c:numRef>
              <c:f>'Pivot Table'!$F$28:$F$33</c:f>
              <c:numCache>
                <c:formatCode>General</c:formatCode>
                <c:ptCount val="5"/>
                <c:pt idx="0">
                  <c:v>13</c:v>
                </c:pt>
                <c:pt idx="1">
                  <c:v>31</c:v>
                </c:pt>
                <c:pt idx="2">
                  <c:v>20</c:v>
                </c:pt>
                <c:pt idx="3">
                  <c:v>19</c:v>
                </c:pt>
                <c:pt idx="4">
                  <c:v>17</c:v>
                </c:pt>
              </c:numCache>
            </c:numRef>
          </c:val>
          <c:extLst>
            <c:ext xmlns:c16="http://schemas.microsoft.com/office/drawing/2014/chart" uri="{C3380CC4-5D6E-409C-BE32-E72D297353CC}">
              <c16:uniqueId val="{00000000-8DBA-4287-9E8A-AA405D111E30}"/>
            </c:ext>
          </c:extLst>
        </c:ser>
        <c:dLbls>
          <c:showLegendKey val="0"/>
          <c:showVal val="0"/>
          <c:showCatName val="0"/>
          <c:showSerName val="0"/>
          <c:showPercent val="0"/>
          <c:showBubbleSize val="0"/>
        </c:dLbls>
        <c:gapWidth val="219"/>
        <c:overlap val="-27"/>
        <c:axId val="1264331480"/>
        <c:axId val="1264326888"/>
      </c:barChart>
      <c:lineChart>
        <c:grouping val="standard"/>
        <c:varyColors val="0"/>
        <c:ser>
          <c:idx val="1"/>
          <c:order val="1"/>
          <c:tx>
            <c:strRef>
              <c:f>'Pivot Table'!$G$27</c:f>
              <c:strCache>
                <c:ptCount val="1"/>
                <c:pt idx="0">
                  <c:v>Sum of Price Sold</c:v>
                </c:pt>
              </c:strCache>
            </c:strRef>
          </c:tx>
          <c:spPr>
            <a:ln w="28575" cap="rnd">
              <a:solidFill>
                <a:schemeClr val="tx1">
                  <a:lumMod val="50000"/>
                  <a:lumOff val="50000"/>
                </a:schemeClr>
              </a:solidFill>
              <a:round/>
            </a:ln>
            <a:effectLst/>
          </c:spPr>
          <c:marker>
            <c:symbol val="circle"/>
            <c:size val="5"/>
            <c:spPr>
              <a:solidFill>
                <a:schemeClr val="bg1">
                  <a:lumMod val="95000"/>
                </a:schemeClr>
              </a:solidFill>
              <a:ln w="9525">
                <a:noFill/>
              </a:ln>
              <a:effectLst/>
            </c:spPr>
          </c:marker>
          <c:cat>
            <c:strRef>
              <c:f>'Pivot Table'!$E$28:$E$33</c:f>
              <c:strCache>
                <c:ptCount val="5"/>
                <c:pt idx="0">
                  <c:v>128GB</c:v>
                </c:pt>
                <c:pt idx="1">
                  <c:v>1TB</c:v>
                </c:pt>
                <c:pt idx="2">
                  <c:v>256GB</c:v>
                </c:pt>
                <c:pt idx="3">
                  <c:v>512GB</c:v>
                </c:pt>
                <c:pt idx="4">
                  <c:v>64GB</c:v>
                </c:pt>
              </c:strCache>
            </c:strRef>
          </c:cat>
          <c:val>
            <c:numRef>
              <c:f>'Pivot Table'!$G$28:$G$33</c:f>
              <c:numCache>
                <c:formatCode>[&gt;=1000000]\₦0.0,,"M";[&gt;=1000]\₦0.0,"K";0</c:formatCode>
                <c:ptCount val="5"/>
                <c:pt idx="0">
                  <c:v>9930340</c:v>
                </c:pt>
                <c:pt idx="1">
                  <c:v>19364615</c:v>
                </c:pt>
                <c:pt idx="2">
                  <c:v>13443765</c:v>
                </c:pt>
                <c:pt idx="3">
                  <c:v>13402676</c:v>
                </c:pt>
                <c:pt idx="4">
                  <c:v>11474132</c:v>
                </c:pt>
              </c:numCache>
            </c:numRef>
          </c:val>
          <c:smooth val="0"/>
          <c:extLst>
            <c:ext xmlns:c16="http://schemas.microsoft.com/office/drawing/2014/chart" uri="{C3380CC4-5D6E-409C-BE32-E72D297353CC}">
              <c16:uniqueId val="{00000001-8DBA-4287-9E8A-AA405D111E30}"/>
            </c:ext>
          </c:extLst>
        </c:ser>
        <c:dLbls>
          <c:showLegendKey val="0"/>
          <c:showVal val="0"/>
          <c:showCatName val="0"/>
          <c:showSerName val="0"/>
          <c:showPercent val="0"/>
          <c:showBubbleSize val="0"/>
        </c:dLbls>
        <c:marker val="1"/>
        <c:smooth val="0"/>
        <c:axId val="1264320656"/>
        <c:axId val="1264320000"/>
      </c:lineChart>
      <c:valAx>
        <c:axId val="1264320000"/>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264320656"/>
        <c:crosses val="autoZero"/>
        <c:crossBetween val="between"/>
      </c:valAx>
      <c:catAx>
        <c:axId val="1264320656"/>
        <c:scaling>
          <c:orientation val="minMax"/>
        </c:scaling>
        <c:delete val="1"/>
        <c:axPos val="b"/>
        <c:numFmt formatCode="General" sourceLinked="1"/>
        <c:majorTickMark val="out"/>
        <c:minorTickMark val="none"/>
        <c:tickLblPos val="nextTo"/>
        <c:crossAx val="1264320000"/>
        <c:crosses val="autoZero"/>
        <c:auto val="1"/>
        <c:lblAlgn val="ctr"/>
        <c:lblOffset val="100"/>
        <c:noMultiLvlLbl val="0"/>
      </c:catAx>
      <c:valAx>
        <c:axId val="12643268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264331480"/>
        <c:crosses val="max"/>
        <c:crossBetween val="between"/>
      </c:valAx>
      <c:catAx>
        <c:axId val="1264331480"/>
        <c:scaling>
          <c:orientation val="minMax"/>
        </c:scaling>
        <c:delete val="1"/>
        <c:axPos val="b"/>
        <c:numFmt formatCode="General" sourceLinked="1"/>
        <c:majorTickMark val="out"/>
        <c:minorTickMark val="none"/>
        <c:tickLblPos val="nextTo"/>
        <c:crossAx val="1264326888"/>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Table!PivotTable19</c:name>
    <c:fmtId val="2"/>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tx1">
              <a:lumMod val="65000"/>
              <a:lumOff val="35000"/>
              <a:alpha val="18000"/>
            </a:schemeClr>
          </a:solidFill>
          <a:ln>
            <a:no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553173710429055E-2"/>
          <c:y val="5.7901519179381272E-2"/>
          <c:w val="0.83261438509975683"/>
          <c:h val="0.62034034122798387"/>
        </c:manualLayout>
      </c:layout>
      <c:areaChart>
        <c:grouping val="standard"/>
        <c:varyColors val="0"/>
        <c:ser>
          <c:idx val="0"/>
          <c:order val="0"/>
          <c:tx>
            <c:strRef>
              <c:f>'Pivot Table'!$J$6</c:f>
              <c:strCache>
                <c:ptCount val="1"/>
                <c:pt idx="0">
                  <c:v>Total</c:v>
                </c:pt>
              </c:strCache>
            </c:strRef>
          </c:tx>
          <c:spPr>
            <a:solidFill>
              <a:schemeClr val="tx1">
                <a:lumMod val="65000"/>
                <a:lumOff val="35000"/>
                <a:alpha val="18000"/>
              </a:schemeClr>
            </a:solidFill>
            <a:ln>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 Table'!$I$7:$I$12</c:f>
              <c:strCache>
                <c:ptCount val="5"/>
                <c:pt idx="0">
                  <c:v>Abuja</c:v>
                </c:pt>
                <c:pt idx="1">
                  <c:v>Benin City</c:v>
                </c:pt>
                <c:pt idx="2">
                  <c:v>Ibadan</c:v>
                </c:pt>
                <c:pt idx="3">
                  <c:v>Lagos</c:v>
                </c:pt>
                <c:pt idx="4">
                  <c:v>Port Harcourt</c:v>
                </c:pt>
              </c:strCache>
            </c:strRef>
          </c:cat>
          <c:val>
            <c:numRef>
              <c:f>'Pivot Table'!$J$7:$J$12</c:f>
              <c:numCache>
                <c:formatCode>General</c:formatCode>
                <c:ptCount val="5"/>
                <c:pt idx="0">
                  <c:v>23</c:v>
                </c:pt>
                <c:pt idx="1">
                  <c:v>19</c:v>
                </c:pt>
                <c:pt idx="2">
                  <c:v>18</c:v>
                </c:pt>
                <c:pt idx="3">
                  <c:v>24</c:v>
                </c:pt>
                <c:pt idx="4">
                  <c:v>16</c:v>
                </c:pt>
              </c:numCache>
            </c:numRef>
          </c:val>
          <c:extLst>
            <c:ext xmlns:c16="http://schemas.microsoft.com/office/drawing/2014/chart" uri="{C3380CC4-5D6E-409C-BE32-E72D297353CC}">
              <c16:uniqueId val="{00000000-76AC-4FD2-B17B-EEE41374CE8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4826504"/>
        <c:axId val="524826832"/>
      </c:areaChart>
      <c:catAx>
        <c:axId val="5248265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4826832"/>
        <c:crosses val="autoZero"/>
        <c:auto val="1"/>
        <c:lblAlgn val="ctr"/>
        <c:lblOffset val="100"/>
        <c:noMultiLvlLbl val="0"/>
      </c:catAx>
      <c:valAx>
        <c:axId val="524826832"/>
        <c:scaling>
          <c:orientation val="minMax"/>
        </c:scaling>
        <c:delete val="1"/>
        <c:axPos val="l"/>
        <c:numFmt formatCode="General" sourceLinked="1"/>
        <c:majorTickMark val="out"/>
        <c:minorTickMark val="none"/>
        <c:tickLblPos val="nextTo"/>
        <c:crossAx val="52482650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 Iphone Store Analysis..xlsx]Pivot Table!PivotTable21</c:name>
    <c:fmtId val="4"/>
  </c:pivotSource>
  <c:chart>
    <c:autoTitleDeleted val="1"/>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alpha val="88000"/>
            </a:schemeClr>
          </a:solidFill>
          <a:ln>
            <a:noFill/>
          </a:ln>
          <a:effectLst/>
          <a:scene3d>
            <a:camera prst="orthographicFront"/>
            <a:lightRig rig="threePt" dir="t"/>
          </a:scene3d>
          <a:sp3d prstMaterial="flat"/>
        </c:spPr>
        <c:marker>
          <c:symbol val="none"/>
        </c:marker>
        <c:dLbl>
          <c:idx val="0"/>
          <c:layout/>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29788567168174"/>
          <c:y val="5.0925752991421068E-2"/>
          <c:w val="0.83245884631403932"/>
          <c:h val="0.66384928059874826"/>
        </c:manualLayout>
      </c:layout>
      <c:bar3DChart>
        <c:barDir val="col"/>
        <c:grouping val="clustered"/>
        <c:varyColors val="0"/>
        <c:ser>
          <c:idx val="0"/>
          <c:order val="0"/>
          <c:tx>
            <c:strRef>
              <c:f>'Pivot Table'!$J$25</c:f>
              <c:strCache>
                <c:ptCount val="1"/>
                <c:pt idx="0">
                  <c:v>Total</c:v>
                </c:pt>
              </c:strCache>
            </c:strRef>
          </c:tx>
          <c:spPr>
            <a:solidFill>
              <a:schemeClr val="bg1">
                <a:lumMod val="65000"/>
                <a:alpha val="88000"/>
              </a:schemeClr>
            </a:solidFill>
            <a:ln>
              <a:noFill/>
            </a:ln>
            <a:effectLst/>
            <a:scene3d>
              <a:camera prst="orthographicFront"/>
              <a:lightRig rig="threePt" dir="t"/>
            </a:scene3d>
            <a:sp3d prstMaterial="flat"/>
          </c:spPr>
          <c:invertIfNegative val="0"/>
          <c:dLbls>
            <c:spPr>
              <a:noFill/>
              <a:ln>
                <a:no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Table'!$I$26:$I$33</c:f>
              <c:strCache>
                <c:ptCount val="7"/>
                <c:pt idx="0">
                  <c:v>Black</c:v>
                </c:pt>
                <c:pt idx="1">
                  <c:v>Blue</c:v>
                </c:pt>
                <c:pt idx="2">
                  <c:v>Gold</c:v>
                </c:pt>
                <c:pt idx="3">
                  <c:v>Purple</c:v>
                </c:pt>
                <c:pt idx="4">
                  <c:v>Red</c:v>
                </c:pt>
                <c:pt idx="5">
                  <c:v>Silver</c:v>
                </c:pt>
                <c:pt idx="6">
                  <c:v>White</c:v>
                </c:pt>
              </c:strCache>
            </c:strRef>
          </c:cat>
          <c:val>
            <c:numRef>
              <c:f>'Pivot Table'!$J$26:$J$33</c:f>
              <c:numCache>
                <c:formatCode>General</c:formatCode>
                <c:ptCount val="7"/>
                <c:pt idx="0">
                  <c:v>12</c:v>
                </c:pt>
                <c:pt idx="1">
                  <c:v>11</c:v>
                </c:pt>
                <c:pt idx="2">
                  <c:v>16</c:v>
                </c:pt>
                <c:pt idx="3">
                  <c:v>10</c:v>
                </c:pt>
                <c:pt idx="4">
                  <c:v>13</c:v>
                </c:pt>
                <c:pt idx="5">
                  <c:v>25</c:v>
                </c:pt>
                <c:pt idx="6">
                  <c:v>13</c:v>
                </c:pt>
              </c:numCache>
            </c:numRef>
          </c:val>
          <c:extLst>
            <c:ext xmlns:c16="http://schemas.microsoft.com/office/drawing/2014/chart" uri="{C3380CC4-5D6E-409C-BE32-E72D297353CC}">
              <c16:uniqueId val="{00000000-2575-4149-B487-236DEE24C693}"/>
            </c:ext>
          </c:extLst>
        </c:ser>
        <c:dLbls>
          <c:showLegendKey val="0"/>
          <c:showVal val="1"/>
          <c:showCatName val="0"/>
          <c:showSerName val="0"/>
          <c:showPercent val="0"/>
          <c:showBubbleSize val="0"/>
        </c:dLbls>
        <c:gapWidth val="84"/>
        <c:gapDepth val="53"/>
        <c:shape val="box"/>
        <c:axId val="576554616"/>
        <c:axId val="576548712"/>
        <c:axId val="0"/>
      </c:bar3DChart>
      <c:catAx>
        <c:axId val="576554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548712"/>
        <c:crosses val="autoZero"/>
        <c:auto val="1"/>
        <c:lblAlgn val="ctr"/>
        <c:lblOffset val="100"/>
        <c:noMultiLvlLbl val="0"/>
      </c:catAx>
      <c:valAx>
        <c:axId val="576548712"/>
        <c:scaling>
          <c:orientation val="minMax"/>
        </c:scaling>
        <c:delete val="1"/>
        <c:axPos val="l"/>
        <c:numFmt formatCode="General" sourceLinked="1"/>
        <c:majorTickMark val="out"/>
        <c:minorTickMark val="none"/>
        <c:tickLblPos val="nextTo"/>
        <c:crossAx val="576554616"/>
        <c:crosses val="autoZero"/>
        <c:crossBetween val="between"/>
      </c:valAx>
      <c:spPr>
        <a:noFill/>
        <a:ln>
          <a:noFill/>
        </a:ln>
        <a:effectLst/>
      </c:spPr>
    </c:plotArea>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Buyers'' Performance'!A1"/><Relationship Id="rId3" Type="http://schemas.microsoft.com/office/2007/relationships/hdphoto" Target="../media/hdphoto1.wdp"/><Relationship Id="rId7" Type="http://schemas.openxmlformats.org/officeDocument/2006/relationships/hyperlink" Target="#'Pivot Table'!A1"/><Relationship Id="rId12" Type="http://schemas.microsoft.com/office/2007/relationships/hdphoto" Target="../media/hdphoto4.wdp"/><Relationship Id="rId17" Type="http://schemas.microsoft.com/office/2007/relationships/hdphoto" Target="../media/hdphoto6.wdp"/><Relationship Id="rId2" Type="http://schemas.openxmlformats.org/officeDocument/2006/relationships/image" Target="../media/image1.png"/><Relationship Id="rId16" Type="http://schemas.openxmlformats.org/officeDocument/2006/relationships/image" Target="../media/image6.png"/><Relationship Id="rId1" Type="http://schemas.openxmlformats.org/officeDocument/2006/relationships/hyperlink" Target="#Summary!A1"/><Relationship Id="rId6" Type="http://schemas.microsoft.com/office/2007/relationships/hdphoto" Target="../media/hdphoto2.wdp"/><Relationship Id="rId11" Type="http://schemas.openxmlformats.org/officeDocument/2006/relationships/image" Target="../media/image4.png"/><Relationship Id="rId5" Type="http://schemas.openxmlformats.org/officeDocument/2006/relationships/image" Target="../media/image2.png"/><Relationship Id="rId15" Type="http://schemas.microsoft.com/office/2007/relationships/hdphoto" Target="../media/hdphoto5.wdp"/><Relationship Id="rId10" Type="http://schemas.openxmlformats.org/officeDocument/2006/relationships/hyperlink" Target="#'Monetory Insight'!A1"/><Relationship Id="rId4" Type="http://schemas.openxmlformats.org/officeDocument/2006/relationships/hyperlink" Target="#'Nigerian Iphone Store'!A1"/><Relationship Id="rId9" Type="http://schemas.microsoft.com/office/2007/relationships/hdphoto" Target="../media/hdphoto3.wdp"/><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Buyers'' Performance'!A1"/><Relationship Id="rId3" Type="http://schemas.microsoft.com/office/2007/relationships/hdphoto" Target="../media/hdphoto1.wdp"/><Relationship Id="rId7" Type="http://schemas.openxmlformats.org/officeDocument/2006/relationships/hyperlink" Target="#'Pivot Table'!A1"/><Relationship Id="rId12" Type="http://schemas.microsoft.com/office/2007/relationships/hdphoto" Target="../media/hdphoto4.wdp"/><Relationship Id="rId2" Type="http://schemas.openxmlformats.org/officeDocument/2006/relationships/image" Target="../media/image1.png"/><Relationship Id="rId1" Type="http://schemas.openxmlformats.org/officeDocument/2006/relationships/hyperlink" Target="#Summary!A1"/><Relationship Id="rId6" Type="http://schemas.microsoft.com/office/2007/relationships/hdphoto" Target="../media/hdphoto2.wdp"/><Relationship Id="rId11" Type="http://schemas.openxmlformats.org/officeDocument/2006/relationships/image" Target="../media/image4.png"/><Relationship Id="rId5" Type="http://schemas.openxmlformats.org/officeDocument/2006/relationships/image" Target="../media/image2.png"/><Relationship Id="rId15" Type="http://schemas.microsoft.com/office/2007/relationships/hdphoto" Target="../media/hdphoto5.wdp"/><Relationship Id="rId10" Type="http://schemas.openxmlformats.org/officeDocument/2006/relationships/hyperlink" Target="#'Monetory Insight'!A1"/><Relationship Id="rId4" Type="http://schemas.openxmlformats.org/officeDocument/2006/relationships/hyperlink" Target="#'Nigerian Iphone Store'!A1"/><Relationship Id="rId9" Type="http://schemas.microsoft.com/office/2007/relationships/hdphoto" Target="../media/hdphoto3.wdp"/><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Buyers'' Performance'!A1"/><Relationship Id="rId3" Type="http://schemas.microsoft.com/office/2007/relationships/hdphoto" Target="../media/hdphoto1.wdp"/><Relationship Id="rId7" Type="http://schemas.openxmlformats.org/officeDocument/2006/relationships/hyperlink" Target="#'Pivot Table'!A1"/><Relationship Id="rId12" Type="http://schemas.microsoft.com/office/2007/relationships/hdphoto" Target="../media/hdphoto4.wdp"/><Relationship Id="rId2" Type="http://schemas.openxmlformats.org/officeDocument/2006/relationships/image" Target="../media/image1.png"/><Relationship Id="rId1" Type="http://schemas.openxmlformats.org/officeDocument/2006/relationships/hyperlink" Target="#Summary!A1"/><Relationship Id="rId6" Type="http://schemas.microsoft.com/office/2007/relationships/hdphoto" Target="../media/hdphoto2.wdp"/><Relationship Id="rId11" Type="http://schemas.openxmlformats.org/officeDocument/2006/relationships/image" Target="../media/image4.png"/><Relationship Id="rId5" Type="http://schemas.openxmlformats.org/officeDocument/2006/relationships/image" Target="../media/image2.png"/><Relationship Id="rId15" Type="http://schemas.microsoft.com/office/2007/relationships/hdphoto" Target="../media/hdphoto5.wdp"/><Relationship Id="rId10" Type="http://schemas.openxmlformats.org/officeDocument/2006/relationships/hyperlink" Target="#'Monetory Insight'!A1"/><Relationship Id="rId4" Type="http://schemas.openxmlformats.org/officeDocument/2006/relationships/hyperlink" Target="#'Nigerian Iphone Store'!A1"/><Relationship Id="rId9" Type="http://schemas.microsoft.com/office/2007/relationships/hdphoto" Target="../media/hdphoto3.wdp"/><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9.png"/><Relationship Id="rId18" Type="http://schemas.openxmlformats.org/officeDocument/2006/relationships/image" Target="../media/image12.png"/><Relationship Id="rId26" Type="http://schemas.openxmlformats.org/officeDocument/2006/relationships/chart" Target="../charts/chart2.xml"/><Relationship Id="rId3" Type="http://schemas.openxmlformats.org/officeDocument/2006/relationships/hyperlink" Target="#Summary!A1"/><Relationship Id="rId21" Type="http://schemas.microsoft.com/office/2007/relationships/hdphoto" Target="../media/hdphoto12.wdp"/><Relationship Id="rId7" Type="http://schemas.openxmlformats.org/officeDocument/2006/relationships/image" Target="../media/image2.png"/><Relationship Id="rId12" Type="http://schemas.openxmlformats.org/officeDocument/2006/relationships/hyperlink" Target="#'Monetory Insight'!A1"/><Relationship Id="rId17" Type="http://schemas.microsoft.com/office/2007/relationships/hdphoto" Target="../media/hdphoto10.wdp"/><Relationship Id="rId25" Type="http://schemas.openxmlformats.org/officeDocument/2006/relationships/chart" Target="../charts/chart1.xml"/><Relationship Id="rId2" Type="http://schemas.microsoft.com/office/2007/relationships/hdphoto" Target="../media/hdphoto7.wdp"/><Relationship Id="rId16" Type="http://schemas.openxmlformats.org/officeDocument/2006/relationships/image" Target="../media/image11.png"/><Relationship Id="rId20" Type="http://schemas.openxmlformats.org/officeDocument/2006/relationships/image" Target="../media/image13.png"/><Relationship Id="rId1" Type="http://schemas.openxmlformats.org/officeDocument/2006/relationships/image" Target="../media/image7.png"/><Relationship Id="rId6" Type="http://schemas.openxmlformats.org/officeDocument/2006/relationships/hyperlink" Target="#'Nigerian Iphone Store'!A1"/><Relationship Id="rId11" Type="http://schemas.microsoft.com/office/2007/relationships/hdphoto" Target="../media/hdphoto8.wdp"/><Relationship Id="rId24" Type="http://schemas.microsoft.com/office/2007/relationships/hdphoto" Target="../media/hdphoto5.wdp"/><Relationship Id="rId5" Type="http://schemas.microsoft.com/office/2007/relationships/hdphoto" Target="../media/hdphoto1.wdp"/><Relationship Id="rId15" Type="http://schemas.openxmlformats.org/officeDocument/2006/relationships/image" Target="../media/image10.png"/><Relationship Id="rId23" Type="http://schemas.openxmlformats.org/officeDocument/2006/relationships/image" Target="../media/image5.png"/><Relationship Id="rId28" Type="http://schemas.openxmlformats.org/officeDocument/2006/relationships/chart" Target="../charts/chart3.xml"/><Relationship Id="rId10" Type="http://schemas.openxmlformats.org/officeDocument/2006/relationships/image" Target="../media/image8.png"/><Relationship Id="rId19" Type="http://schemas.microsoft.com/office/2007/relationships/hdphoto" Target="../media/hdphoto11.wdp"/><Relationship Id="rId4" Type="http://schemas.openxmlformats.org/officeDocument/2006/relationships/image" Target="../media/image1.png"/><Relationship Id="rId9" Type="http://schemas.openxmlformats.org/officeDocument/2006/relationships/hyperlink" Target="#'Pivot Table'!A1"/><Relationship Id="rId14" Type="http://schemas.microsoft.com/office/2007/relationships/hdphoto" Target="../media/hdphoto9.wdp"/><Relationship Id="rId22" Type="http://schemas.openxmlformats.org/officeDocument/2006/relationships/hyperlink" Target="#'Buyers'' Performance'!A1"/><Relationship Id="rId27"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4.png"/><Relationship Id="rId18" Type="http://schemas.openxmlformats.org/officeDocument/2006/relationships/hyperlink" Target="#'Buyers'' Performance'!A1"/><Relationship Id="rId3" Type="http://schemas.openxmlformats.org/officeDocument/2006/relationships/hyperlink" Target="#Summary!A1"/><Relationship Id="rId21" Type="http://schemas.openxmlformats.org/officeDocument/2006/relationships/chart" Target="../charts/chart4.xml"/><Relationship Id="rId7" Type="http://schemas.openxmlformats.org/officeDocument/2006/relationships/image" Target="../media/image2.png"/><Relationship Id="rId12" Type="http://schemas.openxmlformats.org/officeDocument/2006/relationships/hyperlink" Target="#'Monetory Insight'!A1"/><Relationship Id="rId17" Type="http://schemas.openxmlformats.org/officeDocument/2006/relationships/image" Target="../media/image17.png"/><Relationship Id="rId2" Type="http://schemas.microsoft.com/office/2007/relationships/hdphoto" Target="../media/hdphoto13.wdp"/><Relationship Id="rId16" Type="http://schemas.microsoft.com/office/2007/relationships/hdphoto" Target="../media/hdphoto14.wdp"/><Relationship Id="rId20" Type="http://schemas.microsoft.com/office/2007/relationships/hdphoto" Target="../media/hdphoto5.wdp"/><Relationship Id="rId1" Type="http://schemas.openxmlformats.org/officeDocument/2006/relationships/image" Target="../media/image15.png"/><Relationship Id="rId6" Type="http://schemas.openxmlformats.org/officeDocument/2006/relationships/hyperlink" Target="#'Nigerian Iphone Store'!A1"/><Relationship Id="rId11" Type="http://schemas.microsoft.com/office/2007/relationships/hdphoto" Target="../media/hdphoto3.wdp"/><Relationship Id="rId24" Type="http://schemas.openxmlformats.org/officeDocument/2006/relationships/image" Target="../media/image18.png"/><Relationship Id="rId5" Type="http://schemas.microsoft.com/office/2007/relationships/hdphoto" Target="../media/hdphoto1.wdp"/><Relationship Id="rId15" Type="http://schemas.openxmlformats.org/officeDocument/2006/relationships/image" Target="../media/image16.png"/><Relationship Id="rId23" Type="http://schemas.openxmlformats.org/officeDocument/2006/relationships/chart" Target="../charts/chart6.xml"/><Relationship Id="rId10" Type="http://schemas.openxmlformats.org/officeDocument/2006/relationships/image" Target="../media/image3.png"/><Relationship Id="rId19"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hyperlink" Target="#'Pivot Table'!A1"/><Relationship Id="rId14" Type="http://schemas.microsoft.com/office/2007/relationships/hdphoto" Target="../media/hdphoto4.wdp"/><Relationship Id="rId2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8</xdr:col>
      <xdr:colOff>222250</xdr:colOff>
      <xdr:row>6</xdr:row>
      <xdr:rowOff>152400</xdr:rowOff>
    </xdr:to>
    <xdr:sp macro="" textlink="">
      <xdr:nvSpPr>
        <xdr:cNvPr id="2" name="Rounded Rectangle 1"/>
        <xdr:cNvSpPr/>
      </xdr:nvSpPr>
      <xdr:spPr>
        <a:xfrm>
          <a:off x="1314450" y="171450"/>
          <a:ext cx="3784600" cy="71755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t>Problem Statement</a:t>
          </a:r>
          <a:endParaRPr lang="en-US" sz="1100" b="1"/>
        </a:p>
      </xdr:txBody>
    </xdr:sp>
    <xdr:clientData/>
  </xdr:twoCellAnchor>
  <xdr:twoCellAnchor>
    <xdr:from>
      <xdr:col>2</xdr:col>
      <xdr:colOff>31750</xdr:colOff>
      <xdr:row>7</xdr:row>
      <xdr:rowOff>57150</xdr:rowOff>
    </xdr:from>
    <xdr:to>
      <xdr:col>8</xdr:col>
      <xdr:colOff>336550</xdr:colOff>
      <xdr:row>21</xdr:row>
      <xdr:rowOff>76200</xdr:rowOff>
    </xdr:to>
    <xdr:sp macro="" textlink="">
      <xdr:nvSpPr>
        <xdr:cNvPr id="3" name="Rounded Rectangle 2"/>
        <xdr:cNvSpPr/>
      </xdr:nvSpPr>
      <xdr:spPr>
        <a:xfrm>
          <a:off x="1250950" y="977900"/>
          <a:ext cx="3962400" cy="259715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t>A Nigerian Phone Vendor specializing in Iphones wants to improve pricing strategies</a:t>
          </a:r>
          <a:r>
            <a:rPr lang="en-US" sz="1100" b="1" baseline="0"/>
            <a:t> and inventory decisions across different regions. However, they lack insights into the key factors influencing phone sales, such as model preferences, conditions, storage capacity and regional demand. This vendor seeks data-driven recommendations to optimze profit margins and better target high-demand segments.</a:t>
          </a:r>
        </a:p>
        <a:p>
          <a:pPr algn="l"/>
          <a:r>
            <a:rPr lang="en-US" sz="1100" b="1" baseline="0"/>
            <a:t>the task is to analyse sales data to identify trends, customer preferences and potential areas of business improvement. </a:t>
          </a:r>
          <a:endParaRPr lang="en-US" sz="1100" b="1"/>
        </a:p>
      </xdr:txBody>
    </xdr:sp>
    <xdr:clientData/>
  </xdr:twoCellAnchor>
  <xdr:twoCellAnchor>
    <xdr:from>
      <xdr:col>10</xdr:col>
      <xdr:colOff>165100</xdr:colOff>
      <xdr:row>7</xdr:row>
      <xdr:rowOff>38100</xdr:rowOff>
    </xdr:from>
    <xdr:to>
      <xdr:col>16</xdr:col>
      <xdr:colOff>488950</xdr:colOff>
      <xdr:row>21</xdr:row>
      <xdr:rowOff>158750</xdr:rowOff>
    </xdr:to>
    <xdr:sp macro="" textlink="">
      <xdr:nvSpPr>
        <xdr:cNvPr id="4" name="Rounded Rectangle 3"/>
        <xdr:cNvSpPr/>
      </xdr:nvSpPr>
      <xdr:spPr>
        <a:xfrm>
          <a:off x="6261100" y="958850"/>
          <a:ext cx="3981450" cy="269875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t>1. Which</a:t>
          </a:r>
          <a:r>
            <a:rPr lang="en-US" sz="1100" b="1" baseline="0"/>
            <a:t> Iphone model generated the highest total revenue?</a:t>
          </a:r>
        </a:p>
        <a:p>
          <a:pPr algn="l"/>
          <a:r>
            <a:rPr lang="en-US" sz="1100" b="1" baseline="0"/>
            <a:t>2. What is the average selling price of Iphones across different region?</a:t>
          </a:r>
        </a:p>
        <a:p>
          <a:pPr algn="l"/>
          <a:r>
            <a:rPr lang="en-US" sz="1100" b="1" baseline="0"/>
            <a:t>3. Which storage capacity is most commonly sold and does it attract higher prices?</a:t>
          </a:r>
        </a:p>
        <a:p>
          <a:pPr algn="l"/>
          <a:r>
            <a:rPr lang="en-US" sz="1100" b="1" baseline="0"/>
            <a:t>4. What condition are most iphones sold in and how doe it affect selling price?</a:t>
          </a:r>
        </a:p>
        <a:p>
          <a:pPr algn="l"/>
          <a:r>
            <a:rPr lang="en-US" sz="1100" b="1" baseline="0"/>
            <a:t>5. Which region has the highest sales volume?</a:t>
          </a:r>
        </a:p>
        <a:p>
          <a:pPr algn="l"/>
          <a:r>
            <a:rPr lang="en-US" sz="1100" b="1" baseline="0"/>
            <a:t>6. Is there a pattern between battery life and the  selling condition?</a:t>
          </a:r>
        </a:p>
        <a:p>
          <a:pPr algn="l"/>
          <a:r>
            <a:rPr lang="en-US" sz="1100" b="1" baseline="0"/>
            <a:t>7. What is the most common colour preference among buyers?</a:t>
          </a:r>
        </a:p>
        <a:p>
          <a:pPr algn="l"/>
          <a:r>
            <a:rPr lang="en-US" sz="1100" b="1" baseline="0"/>
            <a:t>8. Do newer models sell significantly more than older ones?</a:t>
          </a:r>
          <a:endParaRPr lang="en-US" sz="1100" b="1"/>
        </a:p>
      </xdr:txBody>
    </xdr:sp>
    <xdr:clientData/>
  </xdr:twoCellAnchor>
  <xdr:twoCellAnchor>
    <xdr:from>
      <xdr:col>10</xdr:col>
      <xdr:colOff>311150</xdr:colOff>
      <xdr:row>2</xdr:row>
      <xdr:rowOff>165116</xdr:rowOff>
    </xdr:from>
    <xdr:to>
      <xdr:col>16</xdr:col>
      <xdr:colOff>342900</xdr:colOff>
      <xdr:row>6</xdr:row>
      <xdr:rowOff>158750</xdr:rowOff>
    </xdr:to>
    <xdr:sp macro="" textlink="">
      <xdr:nvSpPr>
        <xdr:cNvPr id="5" name="Rounded Rectangle 4"/>
        <xdr:cNvSpPr/>
      </xdr:nvSpPr>
      <xdr:spPr>
        <a:xfrm>
          <a:off x="6407150" y="165116"/>
          <a:ext cx="3689350" cy="730234"/>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t>Questions</a:t>
          </a:r>
          <a:endParaRPr lang="en-US" sz="1100" b="1"/>
        </a:p>
      </xdr:txBody>
    </xdr:sp>
    <xdr:clientData/>
  </xdr:twoCellAnchor>
  <xdr:twoCellAnchor editAs="oneCell">
    <xdr:from>
      <xdr:col>0</xdr:col>
      <xdr:colOff>416098</xdr:colOff>
      <xdr:row>6</xdr:row>
      <xdr:rowOff>6350</xdr:rowOff>
    </xdr:from>
    <xdr:to>
      <xdr:col>1</xdr:col>
      <xdr:colOff>207747</xdr:colOff>
      <xdr:row>8</xdr:row>
      <xdr:rowOff>38629</xdr:rowOff>
    </xdr:to>
    <xdr:pic>
      <xdr:nvPicPr>
        <xdr:cNvPr id="6" name="Picture 5">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tretch>
          <a:fillRect/>
        </a:stretch>
      </xdr:blipFill>
      <xdr:spPr>
        <a:xfrm>
          <a:off x="416098" y="742950"/>
          <a:ext cx="401249" cy="400579"/>
        </a:xfrm>
        <a:prstGeom prst="rect">
          <a:avLst/>
        </a:prstGeom>
      </xdr:spPr>
    </xdr:pic>
    <xdr:clientData/>
  </xdr:twoCellAnchor>
  <xdr:twoCellAnchor editAs="oneCell">
    <xdr:from>
      <xdr:col>0</xdr:col>
      <xdr:colOff>422209</xdr:colOff>
      <xdr:row>8</xdr:row>
      <xdr:rowOff>154872</xdr:rowOff>
    </xdr:from>
    <xdr:to>
      <xdr:col>1</xdr:col>
      <xdr:colOff>173884</xdr:colOff>
      <xdr:row>10</xdr:row>
      <xdr:rowOff>87427</xdr:rowOff>
    </xdr:to>
    <xdr:pic>
      <xdr:nvPicPr>
        <xdr:cNvPr id="7" name="Picture 6">
          <a:hlinkClick xmlns:r="http://schemas.openxmlformats.org/officeDocument/2006/relationships" r:id="rId4"/>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1372" b="88989" l="4513" r="96390"/>
                  </a14:imgEffect>
                  <a14:imgEffect>
                    <a14:saturation sat="0"/>
                  </a14:imgEffect>
                </a14:imgLayer>
              </a14:imgProps>
            </a:ext>
            <a:ext uri="{28A0092B-C50C-407E-A947-70E740481C1C}">
              <a14:useLocalDpi xmlns:a14="http://schemas.microsoft.com/office/drawing/2010/main" val="0"/>
            </a:ext>
          </a:extLst>
        </a:blip>
        <a:srcRect l="4224" t="11549" r="3521" b="11456"/>
        <a:stretch/>
      </xdr:blipFill>
      <xdr:spPr>
        <a:xfrm>
          <a:off x="422209" y="1259772"/>
          <a:ext cx="361275" cy="300855"/>
        </a:xfrm>
        <a:prstGeom prst="rect">
          <a:avLst/>
        </a:prstGeom>
      </xdr:spPr>
    </xdr:pic>
    <xdr:clientData/>
  </xdr:twoCellAnchor>
  <xdr:twoCellAnchor editAs="oneCell">
    <xdr:from>
      <xdr:col>0</xdr:col>
      <xdr:colOff>430509</xdr:colOff>
      <xdr:row>11</xdr:row>
      <xdr:rowOff>28886</xdr:rowOff>
    </xdr:from>
    <xdr:to>
      <xdr:col>1</xdr:col>
      <xdr:colOff>182654</xdr:colOff>
      <xdr:row>13</xdr:row>
      <xdr:rowOff>21664</xdr:rowOff>
    </xdr:to>
    <xdr:pic>
      <xdr:nvPicPr>
        <xdr:cNvPr id="8" name="Picture 7">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430509" y="1686236"/>
          <a:ext cx="361745" cy="361078"/>
        </a:xfrm>
        <a:prstGeom prst="rect">
          <a:avLst/>
        </a:prstGeom>
      </xdr:spPr>
    </xdr:pic>
    <xdr:clientData/>
  </xdr:twoCellAnchor>
  <xdr:twoCellAnchor editAs="oneCell">
    <xdr:from>
      <xdr:col>0</xdr:col>
      <xdr:colOff>323850</xdr:colOff>
      <xdr:row>12</xdr:row>
      <xdr:rowOff>182634</xdr:rowOff>
    </xdr:from>
    <xdr:to>
      <xdr:col>1</xdr:col>
      <xdr:colOff>277400</xdr:colOff>
      <xdr:row>15</xdr:row>
      <xdr:rowOff>57781</xdr:rowOff>
    </xdr:to>
    <xdr:pic>
      <xdr:nvPicPr>
        <xdr:cNvPr id="9" name="Picture 8">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9778" b="93778" l="10000" r="90000">
                      <a14:foregroundMark x1="73333" y1="22667" x2="70000" y2="34222"/>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323850" y="2024134"/>
          <a:ext cx="563150" cy="427597"/>
        </a:xfrm>
        <a:prstGeom prst="rect">
          <a:avLst/>
        </a:prstGeom>
      </xdr:spPr>
    </xdr:pic>
    <xdr:clientData/>
  </xdr:twoCellAnchor>
  <xdr:twoCellAnchor editAs="oneCell">
    <xdr:from>
      <xdr:col>0</xdr:col>
      <xdr:colOff>357647</xdr:colOff>
      <xdr:row>15</xdr:row>
      <xdr:rowOff>45861</xdr:rowOff>
    </xdr:from>
    <xdr:to>
      <xdr:col>1</xdr:col>
      <xdr:colOff>282265</xdr:colOff>
      <xdr:row>17</xdr:row>
      <xdr:rowOff>157297</xdr:rowOff>
    </xdr:to>
    <xdr:pic>
      <xdr:nvPicPr>
        <xdr:cNvPr id="10" name="Picture 9">
          <a:hlinkClick xmlns:r="http://schemas.openxmlformats.org/officeDocument/2006/relationships" r:id="rId13"/>
        </xdr:cNvPr>
        <xdr:cNvPicPr>
          <a:picLocks noChangeAspect="1"/>
        </xdr:cNvPicPr>
      </xdr:nvPicPr>
      <xdr:blipFill>
        <a:blip xmlns:r="http://schemas.openxmlformats.org/officeDocument/2006/relationships" r:embed="rId14" cstate="print">
          <a:duotone>
            <a:prstClr val="black"/>
            <a:schemeClr val="tx2">
              <a:tint val="45000"/>
              <a:satMod val="400000"/>
            </a:schemeClr>
          </a:duotone>
          <a:extLst>
            <a:ext uri="{BEBA8EAE-BF5A-486C-A8C5-ECC9F3942E4B}">
              <a14:imgProps xmlns:a14="http://schemas.microsoft.com/office/drawing/2010/main">
                <a14:imgLayer r:embed="rId15">
                  <a14:imgEffect>
                    <a14:backgroundRemoval t="18284" b="83955" l="4667" r="96667"/>
                  </a14:imgEffect>
                </a14:imgLayer>
              </a14:imgProps>
            </a:ext>
            <a:ext uri="{28A0092B-C50C-407E-A947-70E740481C1C}">
              <a14:useLocalDpi xmlns:a14="http://schemas.microsoft.com/office/drawing/2010/main" val="0"/>
            </a:ext>
          </a:extLst>
        </a:blip>
        <a:stretch>
          <a:fillRect/>
        </a:stretch>
      </xdr:blipFill>
      <xdr:spPr>
        <a:xfrm>
          <a:off x="357647" y="2439811"/>
          <a:ext cx="534218" cy="479736"/>
        </a:xfrm>
        <a:prstGeom prst="rect">
          <a:avLst/>
        </a:prstGeom>
      </xdr:spPr>
    </xdr:pic>
    <xdr:clientData/>
  </xdr:twoCellAnchor>
  <xdr:twoCellAnchor editAs="oneCell">
    <xdr:from>
      <xdr:col>8</xdr:col>
      <xdr:colOff>114300</xdr:colOff>
      <xdr:row>3</xdr:row>
      <xdr:rowOff>31750</xdr:rowOff>
    </xdr:from>
    <xdr:to>
      <xdr:col>10</xdr:col>
      <xdr:colOff>381000</xdr:colOff>
      <xdr:row>11</xdr:row>
      <xdr:rowOff>44450</xdr:rowOff>
    </xdr:to>
    <xdr:pic>
      <xdr:nvPicPr>
        <xdr:cNvPr id="11" name="Picture 10"/>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4250" b="96500" l="10000" r="90000"/>
                  </a14:imgEffect>
                </a14:imgLayer>
              </a14:imgProps>
            </a:ext>
            <a:ext uri="{28A0092B-C50C-407E-A947-70E740481C1C}">
              <a14:useLocalDpi xmlns:a14="http://schemas.microsoft.com/office/drawing/2010/main" val="0"/>
            </a:ext>
          </a:extLst>
        </a:blip>
        <a:stretch>
          <a:fillRect/>
        </a:stretch>
      </xdr:blipFill>
      <xdr:spPr>
        <a:xfrm>
          <a:off x="4991100" y="584200"/>
          <a:ext cx="1485900" cy="1485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377998</xdr:colOff>
      <xdr:row>4</xdr:row>
      <xdr:rowOff>38100</xdr:rowOff>
    </xdr:from>
    <xdr:to>
      <xdr:col>5</xdr:col>
      <xdr:colOff>779247</xdr:colOff>
      <xdr:row>6</xdr:row>
      <xdr:rowOff>70379</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tretch>
          <a:fillRect/>
        </a:stretch>
      </xdr:blipFill>
      <xdr:spPr>
        <a:xfrm>
          <a:off x="3489498" y="774700"/>
          <a:ext cx="401249" cy="400579"/>
        </a:xfrm>
        <a:prstGeom prst="rect">
          <a:avLst/>
        </a:prstGeom>
      </xdr:spPr>
    </xdr:pic>
    <xdr:clientData/>
  </xdr:twoCellAnchor>
  <xdr:twoCellAnchor editAs="oneCell">
    <xdr:from>
      <xdr:col>5</xdr:col>
      <xdr:colOff>384109</xdr:colOff>
      <xdr:row>7</xdr:row>
      <xdr:rowOff>2472</xdr:rowOff>
    </xdr:from>
    <xdr:to>
      <xdr:col>5</xdr:col>
      <xdr:colOff>745384</xdr:colOff>
      <xdr:row>8</xdr:row>
      <xdr:rowOff>119177</xdr:rowOff>
    </xdr:to>
    <xdr:pic>
      <xdr:nvPicPr>
        <xdr:cNvPr id="3" name="Picture 2">
          <a:hlinkClick xmlns:r="http://schemas.openxmlformats.org/officeDocument/2006/relationships" r:id="rId4"/>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1372" b="88989" l="4513" r="96390"/>
                  </a14:imgEffect>
                  <a14:imgEffect>
                    <a14:saturation sat="0"/>
                  </a14:imgEffect>
                </a14:imgLayer>
              </a14:imgProps>
            </a:ext>
            <a:ext uri="{28A0092B-C50C-407E-A947-70E740481C1C}">
              <a14:useLocalDpi xmlns:a14="http://schemas.microsoft.com/office/drawing/2010/main" val="0"/>
            </a:ext>
          </a:extLst>
        </a:blip>
        <a:srcRect l="4224" t="11549" r="3521" b="11456"/>
        <a:stretch/>
      </xdr:blipFill>
      <xdr:spPr>
        <a:xfrm>
          <a:off x="3495609" y="1291522"/>
          <a:ext cx="361275" cy="300855"/>
        </a:xfrm>
        <a:prstGeom prst="rect">
          <a:avLst/>
        </a:prstGeom>
      </xdr:spPr>
    </xdr:pic>
    <xdr:clientData/>
  </xdr:twoCellAnchor>
  <xdr:twoCellAnchor editAs="oneCell">
    <xdr:from>
      <xdr:col>5</xdr:col>
      <xdr:colOff>392409</xdr:colOff>
      <xdr:row>9</xdr:row>
      <xdr:rowOff>60636</xdr:rowOff>
    </xdr:from>
    <xdr:to>
      <xdr:col>5</xdr:col>
      <xdr:colOff>754154</xdr:colOff>
      <xdr:row>11</xdr:row>
      <xdr:rowOff>53414</xdr:rowOff>
    </xdr:to>
    <xdr:pic>
      <xdr:nvPicPr>
        <xdr:cNvPr id="4" name="Picture 3">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3503909" y="1717986"/>
          <a:ext cx="361745" cy="361078"/>
        </a:xfrm>
        <a:prstGeom prst="rect">
          <a:avLst/>
        </a:prstGeom>
      </xdr:spPr>
    </xdr:pic>
    <xdr:clientData/>
  </xdr:twoCellAnchor>
  <xdr:twoCellAnchor editAs="oneCell">
    <xdr:from>
      <xdr:col>5</xdr:col>
      <xdr:colOff>285750</xdr:colOff>
      <xdr:row>11</xdr:row>
      <xdr:rowOff>30234</xdr:rowOff>
    </xdr:from>
    <xdr:to>
      <xdr:col>5</xdr:col>
      <xdr:colOff>848900</xdr:colOff>
      <xdr:row>13</xdr:row>
      <xdr:rowOff>89531</xdr:rowOff>
    </xdr:to>
    <xdr:pic>
      <xdr:nvPicPr>
        <xdr:cNvPr id="5" name="Picture 4">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9778" b="93778" l="10000" r="90000">
                      <a14:foregroundMark x1="73333" y1="22667" x2="70000" y2="34222"/>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3397250" y="2055884"/>
          <a:ext cx="563150" cy="427597"/>
        </a:xfrm>
        <a:prstGeom prst="rect">
          <a:avLst/>
        </a:prstGeom>
      </xdr:spPr>
    </xdr:pic>
    <xdr:clientData/>
  </xdr:twoCellAnchor>
  <xdr:twoCellAnchor editAs="oneCell">
    <xdr:from>
      <xdr:col>5</xdr:col>
      <xdr:colOff>319547</xdr:colOff>
      <xdr:row>13</xdr:row>
      <xdr:rowOff>77611</xdr:rowOff>
    </xdr:from>
    <xdr:to>
      <xdr:col>5</xdr:col>
      <xdr:colOff>853765</xdr:colOff>
      <xdr:row>16</xdr:row>
      <xdr:rowOff>4897</xdr:rowOff>
    </xdr:to>
    <xdr:pic>
      <xdr:nvPicPr>
        <xdr:cNvPr id="6" name="Picture 5">
          <a:hlinkClick xmlns:r="http://schemas.openxmlformats.org/officeDocument/2006/relationships" r:id="rId13"/>
        </xdr:cNvPr>
        <xdr:cNvPicPr>
          <a:picLocks noChangeAspect="1"/>
        </xdr:cNvPicPr>
      </xdr:nvPicPr>
      <xdr:blipFill>
        <a:blip xmlns:r="http://schemas.openxmlformats.org/officeDocument/2006/relationships" r:embed="rId14" cstate="print">
          <a:duotone>
            <a:prstClr val="black"/>
            <a:schemeClr val="tx2">
              <a:tint val="45000"/>
              <a:satMod val="400000"/>
            </a:schemeClr>
          </a:duotone>
          <a:extLst>
            <a:ext uri="{BEBA8EAE-BF5A-486C-A8C5-ECC9F3942E4B}">
              <a14:imgProps xmlns:a14="http://schemas.microsoft.com/office/drawing/2010/main">
                <a14:imgLayer r:embed="rId15">
                  <a14:imgEffect>
                    <a14:backgroundRemoval t="18284" b="83955" l="4667" r="96667"/>
                  </a14:imgEffect>
                </a14:imgLayer>
              </a14:imgProps>
            </a:ext>
            <a:ext uri="{28A0092B-C50C-407E-A947-70E740481C1C}">
              <a14:useLocalDpi xmlns:a14="http://schemas.microsoft.com/office/drawing/2010/main" val="0"/>
            </a:ext>
          </a:extLst>
        </a:blip>
        <a:stretch>
          <a:fillRect/>
        </a:stretch>
      </xdr:blipFill>
      <xdr:spPr>
        <a:xfrm>
          <a:off x="3431047" y="2471561"/>
          <a:ext cx="534218" cy="4797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766935</xdr:colOff>
      <xdr:row>2</xdr:row>
      <xdr:rowOff>150812</xdr:rowOff>
    </xdr:from>
    <xdr:to>
      <xdr:col>3</xdr:col>
      <xdr:colOff>389599</xdr:colOff>
      <xdr:row>5</xdr:row>
      <xdr:rowOff>145538</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tretch>
          <a:fillRect/>
        </a:stretch>
      </xdr:blipFill>
      <xdr:spPr>
        <a:xfrm>
          <a:off x="1917873" y="571500"/>
          <a:ext cx="598976" cy="597976"/>
        </a:xfrm>
        <a:prstGeom prst="rect">
          <a:avLst/>
        </a:prstGeom>
      </xdr:spPr>
    </xdr:pic>
    <xdr:clientData/>
  </xdr:twoCellAnchor>
  <xdr:twoCellAnchor editAs="oneCell">
    <xdr:from>
      <xdr:col>2</xdr:col>
      <xdr:colOff>693671</xdr:colOff>
      <xdr:row>7</xdr:row>
      <xdr:rowOff>88196</xdr:rowOff>
    </xdr:from>
    <xdr:to>
      <xdr:col>3</xdr:col>
      <xdr:colOff>256663</xdr:colOff>
      <xdr:row>9</xdr:row>
      <xdr:rowOff>172181</xdr:rowOff>
    </xdr:to>
    <xdr:pic>
      <xdr:nvPicPr>
        <xdr:cNvPr id="3" name="Picture 2">
          <a:hlinkClick xmlns:r="http://schemas.openxmlformats.org/officeDocument/2006/relationships" r:id="rId4"/>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1372" b="88989" l="4513" r="96390"/>
                  </a14:imgEffect>
                  <a14:imgEffect>
                    <a14:saturation sat="0"/>
                  </a14:imgEffect>
                </a14:imgLayer>
              </a14:imgProps>
            </a:ext>
            <a:ext uri="{28A0092B-C50C-407E-A947-70E740481C1C}">
              <a14:useLocalDpi xmlns:a14="http://schemas.microsoft.com/office/drawing/2010/main" val="0"/>
            </a:ext>
          </a:extLst>
        </a:blip>
        <a:srcRect l="4224" t="11549" r="3521" b="11456"/>
        <a:stretch/>
      </xdr:blipFill>
      <xdr:spPr>
        <a:xfrm>
          <a:off x="1844609" y="1477259"/>
          <a:ext cx="539304" cy="449110"/>
        </a:xfrm>
        <a:prstGeom prst="rect">
          <a:avLst/>
        </a:prstGeom>
      </xdr:spPr>
    </xdr:pic>
    <xdr:clientData/>
  </xdr:twoCellAnchor>
  <xdr:twoCellAnchor editAs="oneCell">
    <xdr:from>
      <xdr:col>2</xdr:col>
      <xdr:colOff>701971</xdr:colOff>
      <xdr:row>11</xdr:row>
      <xdr:rowOff>173347</xdr:rowOff>
    </xdr:from>
    <xdr:to>
      <xdr:col>3</xdr:col>
      <xdr:colOff>265665</xdr:colOff>
      <xdr:row>14</xdr:row>
      <xdr:rowOff>164670</xdr:rowOff>
    </xdr:to>
    <xdr:pic>
      <xdr:nvPicPr>
        <xdr:cNvPr id="4" name="Picture 3">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1852909" y="2292660"/>
          <a:ext cx="540006" cy="539010"/>
        </a:xfrm>
        <a:prstGeom prst="rect">
          <a:avLst/>
        </a:prstGeom>
      </xdr:spPr>
    </xdr:pic>
    <xdr:clientData/>
  </xdr:twoCellAnchor>
  <xdr:twoCellAnchor editAs="oneCell">
    <xdr:from>
      <xdr:col>2</xdr:col>
      <xdr:colOff>515936</xdr:colOff>
      <xdr:row>15</xdr:row>
      <xdr:rowOff>66746</xdr:rowOff>
    </xdr:from>
    <xdr:to>
      <xdr:col>3</xdr:col>
      <xdr:colOff>380283</xdr:colOff>
      <xdr:row>18</xdr:row>
      <xdr:rowOff>157367</xdr:rowOff>
    </xdr:to>
    <xdr:pic>
      <xdr:nvPicPr>
        <xdr:cNvPr id="5" name="Picture 4">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9778" b="93778" l="10000" r="90000">
                      <a14:foregroundMark x1="73333" y1="22667" x2="70000" y2="34222"/>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666874" y="2916309"/>
          <a:ext cx="840659" cy="638308"/>
        </a:xfrm>
        <a:prstGeom prst="rect">
          <a:avLst/>
        </a:prstGeom>
      </xdr:spPr>
    </xdr:pic>
    <xdr:clientData/>
  </xdr:twoCellAnchor>
  <xdr:twoCellAnchor editAs="oneCell">
    <xdr:from>
      <xdr:col>2</xdr:col>
      <xdr:colOff>510047</xdr:colOff>
      <xdr:row>19</xdr:row>
      <xdr:rowOff>149047</xdr:rowOff>
    </xdr:from>
    <xdr:to>
      <xdr:col>3</xdr:col>
      <xdr:colOff>331205</xdr:colOff>
      <xdr:row>23</xdr:row>
      <xdr:rowOff>134937</xdr:rowOff>
    </xdr:to>
    <xdr:pic>
      <xdr:nvPicPr>
        <xdr:cNvPr id="6" name="Picture 5">
          <a:hlinkClick xmlns:r="http://schemas.openxmlformats.org/officeDocument/2006/relationships" r:id="rId13"/>
        </xdr:cNvPr>
        <xdr:cNvPicPr>
          <a:picLocks noChangeAspect="1"/>
        </xdr:cNvPicPr>
      </xdr:nvPicPr>
      <xdr:blipFill>
        <a:blip xmlns:r="http://schemas.openxmlformats.org/officeDocument/2006/relationships" r:embed="rId14" cstate="print">
          <a:duotone>
            <a:prstClr val="black"/>
            <a:schemeClr val="tx2">
              <a:tint val="45000"/>
              <a:satMod val="400000"/>
            </a:schemeClr>
          </a:duotone>
          <a:extLst>
            <a:ext uri="{BEBA8EAE-BF5A-486C-A8C5-ECC9F3942E4B}">
              <a14:imgProps xmlns:a14="http://schemas.microsoft.com/office/drawing/2010/main">
                <a14:imgLayer r:embed="rId15">
                  <a14:imgEffect>
                    <a14:backgroundRemoval t="18284" b="83955" l="4667" r="96667"/>
                  </a14:imgEffect>
                </a14:imgLayer>
              </a14:imgProps>
            </a:ext>
            <a:ext uri="{28A0092B-C50C-407E-A947-70E740481C1C}">
              <a14:useLocalDpi xmlns:a14="http://schemas.microsoft.com/office/drawing/2010/main" val="0"/>
            </a:ext>
          </a:extLst>
        </a:blip>
        <a:stretch>
          <a:fillRect/>
        </a:stretch>
      </xdr:blipFill>
      <xdr:spPr>
        <a:xfrm>
          <a:off x="1660985" y="3728860"/>
          <a:ext cx="797470" cy="716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592666</xdr:colOff>
      <xdr:row>2</xdr:row>
      <xdr:rowOff>59267</xdr:rowOff>
    </xdr:from>
    <xdr:to>
      <xdr:col>15</xdr:col>
      <xdr:colOff>186266</xdr:colOff>
      <xdr:row>4</xdr:row>
      <xdr:rowOff>160867</xdr:rowOff>
    </xdr:to>
    <xdr:sp macro="" textlink="">
      <xdr:nvSpPr>
        <xdr:cNvPr id="20" name="Rounded Rectangle 19"/>
        <xdr:cNvSpPr/>
      </xdr:nvSpPr>
      <xdr:spPr>
        <a:xfrm>
          <a:off x="4859866" y="431800"/>
          <a:ext cx="4470400" cy="474134"/>
        </a:xfrm>
        <a:prstGeom prst="roundRect">
          <a:avLst/>
        </a:prstGeom>
        <a:solidFill>
          <a:schemeClr val="tx1"/>
        </a:solidFill>
        <a:ln>
          <a:noFill/>
        </a:ln>
        <a:effectLst>
          <a:innerShdw blurRad="114300">
            <a:prstClr val="black"/>
          </a:inn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192669</xdr:colOff>
      <xdr:row>4</xdr:row>
      <xdr:rowOff>27779</xdr:rowOff>
    </xdr:from>
    <xdr:to>
      <xdr:col>21</xdr:col>
      <xdr:colOff>226286</xdr:colOff>
      <xdr:row>30</xdr:row>
      <xdr:rowOff>33388</xdr:rowOff>
    </xdr:to>
    <xdr:sp macro="" textlink="">
      <xdr:nvSpPr>
        <xdr:cNvPr id="2" name="Rounded Rectangle 1"/>
        <xdr:cNvSpPr/>
      </xdr:nvSpPr>
      <xdr:spPr>
        <a:xfrm>
          <a:off x="12384669" y="772846"/>
          <a:ext cx="643217" cy="4848542"/>
        </a:xfrm>
        <a:prstGeom prst="roundRect">
          <a:avLst>
            <a:gd name="adj" fmla="val 12366"/>
          </a:avLst>
        </a:prstGeom>
        <a:solidFill>
          <a:schemeClr val="tx1">
            <a:alpha val="80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186467</xdr:colOff>
      <xdr:row>4</xdr:row>
      <xdr:rowOff>36278</xdr:rowOff>
    </xdr:from>
    <xdr:to>
      <xdr:col>19</xdr:col>
      <xdr:colOff>542073</xdr:colOff>
      <xdr:row>30</xdr:row>
      <xdr:rowOff>41159</xdr:rowOff>
    </xdr:to>
    <xdr:sp macro="" textlink="">
      <xdr:nvSpPr>
        <xdr:cNvPr id="4" name="Rounded Rectangle 3"/>
        <xdr:cNvSpPr/>
      </xdr:nvSpPr>
      <xdr:spPr>
        <a:xfrm>
          <a:off x="2013179" y="766963"/>
          <a:ext cx="10098072" cy="4754333"/>
        </a:xfrm>
        <a:prstGeom prst="roundRect">
          <a:avLst>
            <a:gd name="adj" fmla="val 3569"/>
          </a:avLst>
        </a:prstGeom>
        <a:solidFill>
          <a:schemeClr val="tx1">
            <a:alpha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95685</xdr:colOff>
      <xdr:row>4</xdr:row>
      <xdr:rowOff>129319</xdr:rowOff>
    </xdr:from>
    <xdr:to>
      <xdr:col>15</xdr:col>
      <xdr:colOff>103455</xdr:colOff>
      <xdr:row>29</xdr:row>
      <xdr:rowOff>82114</xdr:rowOff>
    </xdr:to>
    <xdr:pic>
      <xdr:nvPicPr>
        <xdr:cNvPr id="14" name="Picture 13"/>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93000" contrast="-24000"/>
                  </a14:imgEffect>
                </a14:imgLayer>
              </a14:imgProps>
            </a:ext>
            <a:ext uri="{28A0092B-C50C-407E-A947-70E740481C1C}">
              <a14:useLocalDpi xmlns:a14="http://schemas.microsoft.com/office/drawing/2010/main" val="0"/>
            </a:ext>
          </a:extLst>
        </a:blip>
        <a:stretch>
          <a:fillRect/>
        </a:stretch>
      </xdr:blipFill>
      <xdr:spPr>
        <a:xfrm>
          <a:off x="4966918" y="860004"/>
          <a:ext cx="4270099" cy="4519576"/>
        </a:xfrm>
        <a:prstGeom prst="rect">
          <a:avLst/>
        </a:prstGeom>
      </xdr:spPr>
    </xdr:pic>
    <xdr:clientData/>
  </xdr:twoCellAnchor>
  <xdr:twoCellAnchor editAs="oneCell">
    <xdr:from>
      <xdr:col>20</xdr:col>
      <xdr:colOff>387467</xdr:colOff>
      <xdr:row>10</xdr:row>
      <xdr:rowOff>119819</xdr:rowOff>
    </xdr:from>
    <xdr:to>
      <xdr:col>21</xdr:col>
      <xdr:colOff>177075</xdr:colOff>
      <xdr:row>12</xdr:row>
      <xdr:rowOff>144526</xdr:rowOff>
    </xdr:to>
    <xdr:pic>
      <xdr:nvPicPr>
        <xdr:cNvPr id="6" name="Picture 5">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aturation sat="0"/>
                  </a14:imgEffect>
                </a14:imgLayer>
              </a14:imgProps>
            </a:ext>
            <a:ext uri="{28A0092B-C50C-407E-A947-70E740481C1C}">
              <a14:useLocalDpi xmlns:a14="http://schemas.microsoft.com/office/drawing/2010/main" val="0"/>
            </a:ext>
          </a:extLst>
        </a:blip>
        <a:stretch>
          <a:fillRect/>
        </a:stretch>
      </xdr:blipFill>
      <xdr:spPr>
        <a:xfrm>
          <a:off x="12579467" y="1982486"/>
          <a:ext cx="399208" cy="397240"/>
        </a:xfrm>
        <a:prstGeom prst="rect">
          <a:avLst/>
        </a:prstGeom>
      </xdr:spPr>
    </xdr:pic>
    <xdr:clientData/>
  </xdr:twoCellAnchor>
  <xdr:twoCellAnchor editAs="oneCell">
    <xdr:from>
      <xdr:col>20</xdr:col>
      <xdr:colOff>373903</xdr:colOff>
      <xdr:row>13</xdr:row>
      <xdr:rowOff>3595</xdr:rowOff>
    </xdr:from>
    <xdr:to>
      <xdr:col>21</xdr:col>
      <xdr:colOff>163511</xdr:colOff>
      <xdr:row>14</xdr:row>
      <xdr:rowOff>148994</xdr:rowOff>
    </xdr:to>
    <xdr:pic>
      <xdr:nvPicPr>
        <xdr:cNvPr id="7" name="Picture 6">
          <a:hlinkClick xmlns:r="http://schemas.openxmlformats.org/officeDocument/2006/relationships" r:id="rId6"/>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1372" b="88989" l="4513" r="96390"/>
                  </a14:imgEffect>
                  <a14:imgEffect>
                    <a14:saturation sat="0"/>
                  </a14:imgEffect>
                </a14:imgLayer>
              </a14:imgProps>
            </a:ext>
            <a:ext uri="{28A0092B-C50C-407E-A947-70E740481C1C}">
              <a14:useLocalDpi xmlns:a14="http://schemas.microsoft.com/office/drawing/2010/main" val="0"/>
            </a:ext>
          </a:extLst>
        </a:blip>
        <a:srcRect l="4224" t="11549" r="3521" b="11456"/>
        <a:stretch/>
      </xdr:blipFill>
      <xdr:spPr>
        <a:xfrm>
          <a:off x="12565903" y="2425062"/>
          <a:ext cx="399208" cy="331665"/>
        </a:xfrm>
        <a:prstGeom prst="rect">
          <a:avLst/>
        </a:prstGeom>
      </xdr:spPr>
    </xdr:pic>
    <xdr:clientData/>
  </xdr:twoCellAnchor>
  <xdr:twoCellAnchor editAs="oneCell">
    <xdr:from>
      <xdr:col>20</xdr:col>
      <xdr:colOff>342015</xdr:colOff>
      <xdr:row>15</xdr:row>
      <xdr:rowOff>37815</xdr:rowOff>
    </xdr:from>
    <xdr:to>
      <xdr:col>21</xdr:col>
      <xdr:colOff>135615</xdr:colOff>
      <xdr:row>17</xdr:row>
      <xdr:rowOff>70650</xdr:rowOff>
    </xdr:to>
    <xdr:pic>
      <xdr:nvPicPr>
        <xdr:cNvPr id="8" name="Picture 7">
          <a:hlinkClick xmlns:r="http://schemas.openxmlformats.org/officeDocument/2006/relationships" r:id="rId9"/>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12534015" y="2831815"/>
          <a:ext cx="403200" cy="405368"/>
        </a:xfrm>
        <a:prstGeom prst="rect">
          <a:avLst/>
        </a:prstGeom>
      </xdr:spPr>
    </xdr:pic>
    <xdr:clientData/>
  </xdr:twoCellAnchor>
  <xdr:twoCellAnchor editAs="oneCell">
    <xdr:from>
      <xdr:col>20</xdr:col>
      <xdr:colOff>257477</xdr:colOff>
      <xdr:row>17</xdr:row>
      <xdr:rowOff>87880</xdr:rowOff>
    </xdr:from>
    <xdr:to>
      <xdr:col>21</xdr:col>
      <xdr:colOff>135749</xdr:colOff>
      <xdr:row>19</xdr:row>
      <xdr:rowOff>78685</xdr:rowOff>
    </xdr:to>
    <xdr:pic>
      <xdr:nvPicPr>
        <xdr:cNvPr id="9" name="Picture 8">
          <a:hlinkClick xmlns:r="http://schemas.openxmlformats.org/officeDocument/2006/relationships" r:id="rId12"/>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9778" b="93778" l="10000" r="90000">
                      <a14:foregroundMark x1="73333" y1="22667" x2="70000" y2="34222"/>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2449477" y="3254413"/>
          <a:ext cx="487872" cy="363339"/>
        </a:xfrm>
        <a:prstGeom prst="rect">
          <a:avLst/>
        </a:prstGeom>
      </xdr:spPr>
    </xdr:pic>
    <xdr:clientData/>
  </xdr:twoCellAnchor>
  <xdr:twoCellAnchor>
    <xdr:from>
      <xdr:col>3</xdr:col>
      <xdr:colOff>229967</xdr:colOff>
      <xdr:row>5</xdr:row>
      <xdr:rowOff>143933</xdr:rowOff>
    </xdr:from>
    <xdr:to>
      <xdr:col>6</xdr:col>
      <xdr:colOff>25403</xdr:colOff>
      <xdr:row>29</xdr:row>
      <xdr:rowOff>25402</xdr:rowOff>
    </xdr:to>
    <xdr:sp macro="" textlink="">
      <xdr:nvSpPr>
        <xdr:cNvPr id="11" name="Rounded Rectangle 10"/>
        <xdr:cNvSpPr/>
      </xdr:nvSpPr>
      <xdr:spPr>
        <a:xfrm rot="16200000">
          <a:off x="694950" y="2439083"/>
          <a:ext cx="4351869" cy="1624236"/>
        </a:xfrm>
        <a:prstGeom prst="roundRect">
          <a:avLst/>
        </a:prstGeom>
        <a:solidFill>
          <a:schemeClr val="tx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232631</xdr:colOff>
      <xdr:row>6</xdr:row>
      <xdr:rowOff>155854</xdr:rowOff>
    </xdr:from>
    <xdr:to>
      <xdr:col>4</xdr:col>
      <xdr:colOff>30037</xdr:colOff>
      <xdr:row>9</xdr:row>
      <xdr:rowOff>5194</xdr:rowOff>
    </xdr:to>
    <xdr:pic>
      <xdr:nvPicPr>
        <xdr:cNvPr id="17" name="Picture 16"/>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061431" y="1273454"/>
          <a:ext cx="407006" cy="408140"/>
        </a:xfrm>
        <a:prstGeom prst="rect">
          <a:avLst/>
        </a:prstGeom>
      </xdr:spPr>
    </xdr:pic>
    <xdr:clientData/>
  </xdr:twoCellAnchor>
  <xdr:twoCellAnchor editAs="oneCell">
    <xdr:from>
      <xdr:col>3</xdr:col>
      <xdr:colOff>245500</xdr:colOff>
      <xdr:row>13</xdr:row>
      <xdr:rowOff>177397</xdr:rowOff>
    </xdr:from>
    <xdr:to>
      <xdr:col>4</xdr:col>
      <xdr:colOff>5473</xdr:colOff>
      <xdr:row>15</xdr:row>
      <xdr:rowOff>172573</xdr:rowOff>
    </xdr:to>
    <xdr:pic>
      <xdr:nvPicPr>
        <xdr:cNvPr id="18" name="Picture 17"/>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0" b="100000" l="0" r="100000">
                      <a14:foregroundMark x1="38989" y1="28700" x2="39711" y2="48917"/>
                      <a14:foregroundMark x1="77617" y1="32310" x2="31769" y2="59567"/>
                      <a14:foregroundMark x1="70758" y1="50903" x2="34116" y2="70217"/>
                    </a14:backgroundRemoval>
                  </a14:imgEffect>
                  <a14:imgEffect>
                    <a14:brightnessContrast bright="30000" contrast="-70000"/>
                  </a14:imgEffect>
                </a14:imgLayer>
              </a14:imgProps>
            </a:ext>
            <a:ext uri="{28A0092B-C50C-407E-A947-70E740481C1C}">
              <a14:useLocalDpi xmlns:a14="http://schemas.microsoft.com/office/drawing/2010/main" val="0"/>
            </a:ext>
          </a:extLst>
        </a:blip>
        <a:stretch>
          <a:fillRect/>
        </a:stretch>
      </xdr:blipFill>
      <xdr:spPr>
        <a:xfrm>
          <a:off x="2074300" y="2598864"/>
          <a:ext cx="369573" cy="367709"/>
        </a:xfrm>
        <a:prstGeom prst="rect">
          <a:avLst/>
        </a:prstGeom>
      </xdr:spPr>
    </xdr:pic>
    <xdr:clientData/>
  </xdr:twoCellAnchor>
  <xdr:twoCellAnchor editAs="oneCell">
    <xdr:from>
      <xdr:col>3</xdr:col>
      <xdr:colOff>259784</xdr:colOff>
      <xdr:row>19</xdr:row>
      <xdr:rowOff>183662</xdr:rowOff>
    </xdr:from>
    <xdr:to>
      <xdr:col>3</xdr:col>
      <xdr:colOff>513688</xdr:colOff>
      <xdr:row>21</xdr:row>
      <xdr:rowOff>90540</xdr:rowOff>
    </xdr:to>
    <xdr:pic>
      <xdr:nvPicPr>
        <xdr:cNvPr id="3" name="Picture 2"/>
        <xdr:cNvPicPr>
          <a:picLocks noChangeAspect="1"/>
        </xdr:cNvPicPr>
      </xdr:nvPicPr>
      <xdr:blipFill rotWithShape="1">
        <a:blip xmlns:r="http://schemas.openxmlformats.org/officeDocument/2006/relationships" r:embed="rId18" cstate="print">
          <a:extLst>
            <a:ext uri="{BEBA8EAE-BF5A-486C-A8C5-ECC9F3942E4B}">
              <a14:imgProps xmlns:a14="http://schemas.microsoft.com/office/drawing/2010/main">
                <a14:imgLayer r:embed="rId19">
                  <a14:imgEffect>
                    <a14:backgroundRemoval t="16454" b="84185" l="18371" r="80990"/>
                  </a14:imgEffect>
                  <a14:imgEffect>
                    <a14:brightnessContrast bright="30000" contrast="-70000"/>
                  </a14:imgEffect>
                </a14:imgLayer>
              </a14:imgProps>
            </a:ext>
            <a:ext uri="{28A0092B-C50C-407E-A947-70E740481C1C}">
              <a14:useLocalDpi xmlns:a14="http://schemas.microsoft.com/office/drawing/2010/main" val="0"/>
            </a:ext>
          </a:extLst>
        </a:blip>
        <a:srcRect l="17663" t="16779" r="20520" b="15169"/>
        <a:stretch/>
      </xdr:blipFill>
      <xdr:spPr>
        <a:xfrm>
          <a:off x="2088584" y="3722729"/>
          <a:ext cx="253904" cy="279411"/>
        </a:xfrm>
        <a:prstGeom prst="rect">
          <a:avLst/>
        </a:prstGeom>
      </xdr:spPr>
    </xdr:pic>
    <xdr:clientData/>
  </xdr:twoCellAnchor>
  <xdr:twoCellAnchor editAs="oneCell">
    <xdr:from>
      <xdr:col>3</xdr:col>
      <xdr:colOff>256936</xdr:colOff>
      <xdr:row>25</xdr:row>
      <xdr:rowOff>125584</xdr:rowOff>
    </xdr:from>
    <xdr:to>
      <xdr:col>3</xdr:col>
      <xdr:colOff>557597</xdr:colOff>
      <xdr:row>27</xdr:row>
      <xdr:rowOff>67066</xdr:rowOff>
    </xdr:to>
    <xdr:pic>
      <xdr:nvPicPr>
        <xdr:cNvPr id="5" name="Picture 4"/>
        <xdr:cNvPicPr>
          <a:picLocks noChangeAspect="1"/>
        </xdr:cNvPicPr>
      </xdr:nvPicPr>
      <xdr:blipFill rotWithShape="1">
        <a:blip xmlns:r="http://schemas.openxmlformats.org/officeDocument/2006/relationships" r:embed="rId20" cstate="print">
          <a:duotone>
            <a:prstClr val="black"/>
            <a:schemeClr val="tx2">
              <a:tint val="45000"/>
              <a:satMod val="400000"/>
            </a:schemeClr>
          </a:duotone>
          <a:extLst>
            <a:ext uri="{BEBA8EAE-BF5A-486C-A8C5-ECC9F3942E4B}">
              <a14:imgProps xmlns:a14="http://schemas.microsoft.com/office/drawing/2010/main">
                <a14:imgLayer r:embed="rId21">
                  <a14:imgEffect>
                    <a14:backgroundRemoval t="0" b="98009" l="18732" r="80236">
                      <a14:foregroundMark x1="25301" y1="80000" x2="78313" y2="83636"/>
                    </a14:backgroundRemoval>
                  </a14:imgEffect>
                </a14:imgLayer>
              </a14:imgProps>
            </a:ext>
            <a:ext uri="{28A0092B-C50C-407E-A947-70E740481C1C}">
              <a14:useLocalDpi xmlns:a14="http://schemas.microsoft.com/office/drawing/2010/main" val="0"/>
            </a:ext>
          </a:extLst>
        </a:blip>
        <a:srcRect l="18300" t="-1" r="19110" b="2496"/>
        <a:stretch/>
      </xdr:blipFill>
      <xdr:spPr>
        <a:xfrm>
          <a:off x="2085736" y="4782251"/>
          <a:ext cx="300661" cy="314015"/>
        </a:xfrm>
        <a:prstGeom prst="rect">
          <a:avLst/>
        </a:prstGeom>
      </xdr:spPr>
    </xdr:pic>
    <xdr:clientData/>
  </xdr:twoCellAnchor>
  <xdr:twoCellAnchor>
    <xdr:from>
      <xdr:col>3</xdr:col>
      <xdr:colOff>399988</xdr:colOff>
      <xdr:row>9</xdr:row>
      <xdr:rowOff>125392</xdr:rowOff>
    </xdr:from>
    <xdr:to>
      <xdr:col>6</xdr:col>
      <xdr:colOff>53991</xdr:colOff>
      <xdr:row>11</xdr:row>
      <xdr:rowOff>105452</xdr:rowOff>
    </xdr:to>
    <xdr:sp macro="" textlink="">
      <xdr:nvSpPr>
        <xdr:cNvPr id="22" name="TextBox 21"/>
        <xdr:cNvSpPr txBox="1"/>
      </xdr:nvSpPr>
      <xdr:spPr>
        <a:xfrm>
          <a:off x="2228788" y="1801792"/>
          <a:ext cx="1482803" cy="352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Total</a:t>
          </a:r>
          <a:r>
            <a:rPr lang="en-US" sz="1200" b="1" i="0" u="none" strike="noStrike" baseline="0">
              <a:solidFill>
                <a:schemeClr val="bg1">
                  <a:lumMod val="85000"/>
                </a:schemeClr>
              </a:solidFill>
              <a:effectLst/>
              <a:latin typeface="+mn-lt"/>
              <a:ea typeface="+mn-ea"/>
              <a:cs typeface="+mn-cs"/>
            </a:rPr>
            <a:t> Revenue</a:t>
          </a:r>
          <a:endParaRPr lang="en-US" sz="1200">
            <a:solidFill>
              <a:schemeClr val="bg1">
                <a:lumMod val="85000"/>
              </a:schemeClr>
            </a:solidFill>
          </a:endParaRPr>
        </a:p>
      </xdr:txBody>
    </xdr:sp>
    <xdr:clientData/>
  </xdr:twoCellAnchor>
  <xdr:twoCellAnchor>
    <xdr:from>
      <xdr:col>3</xdr:col>
      <xdr:colOff>535970</xdr:colOff>
      <xdr:row>16</xdr:row>
      <xdr:rowOff>21625</xdr:rowOff>
    </xdr:from>
    <xdr:to>
      <xdr:col>5</xdr:col>
      <xdr:colOff>527608</xdr:colOff>
      <xdr:row>17</xdr:row>
      <xdr:rowOff>184660</xdr:rowOff>
    </xdr:to>
    <xdr:sp macro="" textlink="">
      <xdr:nvSpPr>
        <xdr:cNvPr id="23" name="TextBox 22"/>
        <xdr:cNvSpPr txBox="1"/>
      </xdr:nvSpPr>
      <xdr:spPr>
        <a:xfrm>
          <a:off x="2364770" y="3001892"/>
          <a:ext cx="1210838" cy="349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Profit Made</a:t>
          </a:r>
          <a:endParaRPr lang="en-US" sz="1200">
            <a:solidFill>
              <a:schemeClr val="bg1">
                <a:lumMod val="85000"/>
              </a:schemeClr>
            </a:solidFill>
          </a:endParaRPr>
        </a:p>
      </xdr:txBody>
    </xdr:sp>
    <xdr:clientData/>
  </xdr:twoCellAnchor>
  <xdr:twoCellAnchor>
    <xdr:from>
      <xdr:col>3</xdr:col>
      <xdr:colOff>287856</xdr:colOff>
      <xdr:row>21</xdr:row>
      <xdr:rowOff>171446</xdr:rowOff>
    </xdr:from>
    <xdr:to>
      <xdr:col>6</xdr:col>
      <xdr:colOff>166123</xdr:colOff>
      <xdr:row>23</xdr:row>
      <xdr:rowOff>163395</xdr:rowOff>
    </xdr:to>
    <xdr:sp macro="" textlink="">
      <xdr:nvSpPr>
        <xdr:cNvPr id="24" name="TextBox 23"/>
        <xdr:cNvSpPr txBox="1"/>
      </xdr:nvSpPr>
      <xdr:spPr>
        <a:xfrm>
          <a:off x="2116656" y="4083046"/>
          <a:ext cx="1707067" cy="364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Percentage</a:t>
          </a:r>
          <a:r>
            <a:rPr lang="en-US" sz="1200" b="1" i="0" u="none" strike="noStrike" baseline="0">
              <a:solidFill>
                <a:schemeClr val="bg1">
                  <a:lumMod val="85000"/>
                </a:schemeClr>
              </a:solidFill>
              <a:effectLst/>
              <a:latin typeface="+mn-lt"/>
              <a:ea typeface="+mn-ea"/>
              <a:cs typeface="+mn-cs"/>
            </a:rPr>
            <a:t> Profit </a:t>
          </a:r>
          <a:endParaRPr lang="en-US" sz="1200">
            <a:solidFill>
              <a:schemeClr val="bg1">
                <a:lumMod val="85000"/>
              </a:schemeClr>
            </a:solidFill>
          </a:endParaRPr>
        </a:p>
      </xdr:txBody>
    </xdr:sp>
    <xdr:clientData/>
  </xdr:twoCellAnchor>
  <xdr:twoCellAnchor>
    <xdr:from>
      <xdr:col>3</xdr:col>
      <xdr:colOff>489198</xdr:colOff>
      <xdr:row>27</xdr:row>
      <xdr:rowOff>127350</xdr:rowOff>
    </xdr:from>
    <xdr:to>
      <xdr:col>5</xdr:col>
      <xdr:colOff>574381</xdr:colOff>
      <xdr:row>29</xdr:row>
      <xdr:rowOff>104119</xdr:rowOff>
    </xdr:to>
    <xdr:sp macro="" textlink="">
      <xdr:nvSpPr>
        <xdr:cNvPr id="25" name="TextBox 24"/>
        <xdr:cNvSpPr txBox="1"/>
      </xdr:nvSpPr>
      <xdr:spPr>
        <a:xfrm>
          <a:off x="2317998" y="5156550"/>
          <a:ext cx="1304383" cy="349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Iphone</a:t>
          </a:r>
          <a:r>
            <a:rPr lang="en-US" sz="1200" b="1" i="0" u="none" strike="noStrike" baseline="0">
              <a:solidFill>
                <a:schemeClr val="bg1">
                  <a:lumMod val="85000"/>
                </a:schemeClr>
              </a:solidFill>
              <a:effectLst/>
              <a:latin typeface="+mn-lt"/>
              <a:ea typeface="+mn-ea"/>
              <a:cs typeface="+mn-cs"/>
            </a:rPr>
            <a:t> Sold</a:t>
          </a:r>
          <a:endParaRPr lang="en-US" sz="1200">
            <a:solidFill>
              <a:schemeClr val="bg1">
                <a:lumMod val="85000"/>
              </a:schemeClr>
            </a:solidFill>
          </a:endParaRPr>
        </a:p>
      </xdr:txBody>
    </xdr:sp>
    <xdr:clientData/>
  </xdr:twoCellAnchor>
  <xdr:twoCellAnchor editAs="oneCell">
    <xdr:from>
      <xdr:col>20</xdr:col>
      <xdr:colOff>280747</xdr:colOff>
      <xdr:row>19</xdr:row>
      <xdr:rowOff>86492</xdr:rowOff>
    </xdr:from>
    <xdr:to>
      <xdr:col>21</xdr:col>
      <xdr:colOff>159019</xdr:colOff>
      <xdr:row>21</xdr:row>
      <xdr:rowOff>148560</xdr:rowOff>
    </xdr:to>
    <xdr:pic>
      <xdr:nvPicPr>
        <xdr:cNvPr id="13" name="Picture 12">
          <a:hlinkClick xmlns:r="http://schemas.openxmlformats.org/officeDocument/2006/relationships" r:id="rId22"/>
        </xdr:cNvPr>
        <xdr:cNvPicPr>
          <a:picLocks noChangeAspect="1"/>
        </xdr:cNvPicPr>
      </xdr:nvPicPr>
      <xdr:blipFill>
        <a:blip xmlns:r="http://schemas.openxmlformats.org/officeDocument/2006/relationships" r:embed="rId23" cstate="print">
          <a:duotone>
            <a:prstClr val="black"/>
            <a:schemeClr val="tx2">
              <a:tint val="45000"/>
              <a:satMod val="400000"/>
            </a:schemeClr>
          </a:duotone>
          <a:extLst>
            <a:ext uri="{BEBA8EAE-BF5A-486C-A8C5-ECC9F3942E4B}">
              <a14:imgProps xmlns:a14="http://schemas.microsoft.com/office/drawing/2010/main">
                <a14:imgLayer r:embed="rId24">
                  <a14:imgEffect>
                    <a14:backgroundRemoval t="18284" b="83955" l="4667" r="96667"/>
                  </a14:imgEffect>
                </a14:imgLayer>
              </a14:imgProps>
            </a:ext>
            <a:ext uri="{28A0092B-C50C-407E-A947-70E740481C1C}">
              <a14:useLocalDpi xmlns:a14="http://schemas.microsoft.com/office/drawing/2010/main" val="0"/>
            </a:ext>
          </a:extLst>
        </a:blip>
        <a:stretch>
          <a:fillRect/>
        </a:stretch>
      </xdr:blipFill>
      <xdr:spPr>
        <a:xfrm>
          <a:off x="12472747" y="3625559"/>
          <a:ext cx="487872" cy="434601"/>
        </a:xfrm>
        <a:prstGeom prst="rect">
          <a:avLst/>
        </a:prstGeom>
      </xdr:spPr>
    </xdr:pic>
    <xdr:clientData/>
  </xdr:twoCellAnchor>
  <xdr:twoCellAnchor>
    <xdr:from>
      <xdr:col>3</xdr:col>
      <xdr:colOff>589869</xdr:colOff>
      <xdr:row>7</xdr:row>
      <xdr:rowOff>153551</xdr:rowOff>
    </xdr:from>
    <xdr:to>
      <xdr:col>5</xdr:col>
      <xdr:colOff>473710</xdr:colOff>
      <xdr:row>9</xdr:row>
      <xdr:rowOff>140804</xdr:rowOff>
    </xdr:to>
    <xdr:sp macro="" textlink="revenue">
      <xdr:nvSpPr>
        <xdr:cNvPr id="16" name="TextBox 15"/>
        <xdr:cNvSpPr txBox="1"/>
      </xdr:nvSpPr>
      <xdr:spPr>
        <a:xfrm>
          <a:off x="2418669" y="1457418"/>
          <a:ext cx="1103041" cy="3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B613B3-9B9B-4D09-8A57-0DE7108D4DDF}" type="TxLink">
            <a:rPr lang="en-US" sz="1800" b="1" i="0" u="none" strike="noStrike">
              <a:solidFill>
                <a:schemeClr val="bg1">
                  <a:lumMod val="85000"/>
                </a:schemeClr>
              </a:solidFill>
              <a:latin typeface="Calibri"/>
              <a:ea typeface="Calibri"/>
              <a:cs typeface="Calibri"/>
            </a:rPr>
            <a:pPr/>
            <a:t>₦67.6M</a:t>
          </a:fld>
          <a:endParaRPr lang="en-US" sz="3600" b="1">
            <a:solidFill>
              <a:schemeClr val="bg1">
                <a:lumMod val="85000"/>
              </a:schemeClr>
            </a:solidFill>
          </a:endParaRPr>
        </a:p>
      </xdr:txBody>
    </xdr:sp>
    <xdr:clientData/>
  </xdr:twoCellAnchor>
  <xdr:twoCellAnchor>
    <xdr:from>
      <xdr:col>4</xdr:col>
      <xdr:colOff>93465</xdr:colOff>
      <xdr:row>19</xdr:row>
      <xdr:rowOff>145090</xdr:rowOff>
    </xdr:from>
    <xdr:to>
      <xdr:col>5</xdr:col>
      <xdr:colOff>106504</xdr:colOff>
      <xdr:row>21</xdr:row>
      <xdr:rowOff>132343</xdr:rowOff>
    </xdr:to>
    <xdr:sp macro="" textlink="percent">
      <xdr:nvSpPr>
        <xdr:cNvPr id="28" name="TextBox 27"/>
        <xdr:cNvSpPr txBox="1"/>
      </xdr:nvSpPr>
      <xdr:spPr>
        <a:xfrm>
          <a:off x="2531865" y="3684157"/>
          <a:ext cx="622639" cy="3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4D17C5-A3B8-4C91-9582-10BA2B80A74D}" type="TxLink">
            <a:rPr lang="en-US" sz="1800" b="1" i="0" u="none" strike="noStrike">
              <a:solidFill>
                <a:schemeClr val="bg1">
                  <a:lumMod val="85000"/>
                </a:schemeClr>
              </a:solidFill>
              <a:latin typeface="Calibri"/>
              <a:ea typeface="Calibri"/>
              <a:cs typeface="Calibri"/>
            </a:rPr>
            <a:pPr algn="ctr"/>
            <a:t>25%</a:t>
          </a:fld>
          <a:endParaRPr lang="en-US" sz="3600" b="1">
            <a:solidFill>
              <a:schemeClr val="bg1">
                <a:lumMod val="85000"/>
              </a:schemeClr>
            </a:solidFill>
          </a:endParaRPr>
        </a:p>
      </xdr:txBody>
    </xdr:sp>
    <xdr:clientData/>
  </xdr:twoCellAnchor>
  <xdr:twoCellAnchor>
    <xdr:from>
      <xdr:col>4</xdr:col>
      <xdr:colOff>95643</xdr:colOff>
      <xdr:row>25</xdr:row>
      <xdr:rowOff>85814</xdr:rowOff>
    </xdr:from>
    <xdr:to>
      <xdr:col>5</xdr:col>
      <xdr:colOff>36590</xdr:colOff>
      <xdr:row>27</xdr:row>
      <xdr:rowOff>73067</xdr:rowOff>
    </xdr:to>
    <xdr:sp macro="" textlink="sold">
      <xdr:nvSpPr>
        <xdr:cNvPr id="29" name="TextBox 28"/>
        <xdr:cNvSpPr txBox="1"/>
      </xdr:nvSpPr>
      <xdr:spPr>
        <a:xfrm>
          <a:off x="2534043" y="4742481"/>
          <a:ext cx="550547" cy="3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84BB30-36D5-48E7-91AE-E888C180DA55}" type="TxLink">
            <a:rPr lang="en-US" sz="1800" b="1" i="0" u="none" strike="noStrike">
              <a:solidFill>
                <a:schemeClr val="bg1">
                  <a:lumMod val="85000"/>
                </a:schemeClr>
              </a:solidFill>
              <a:effectLst/>
              <a:latin typeface="Calibri"/>
              <a:ea typeface="Calibri"/>
              <a:cs typeface="Calibri"/>
            </a:rPr>
            <a:pPr algn="ctr"/>
            <a:t>100</a:t>
          </a:fld>
          <a:endParaRPr lang="en-US" sz="3600" b="1">
            <a:solidFill>
              <a:schemeClr val="bg1">
                <a:lumMod val="85000"/>
              </a:schemeClr>
            </a:solidFill>
          </a:endParaRPr>
        </a:p>
      </xdr:txBody>
    </xdr:sp>
    <xdr:clientData/>
  </xdr:twoCellAnchor>
  <xdr:twoCellAnchor>
    <xdr:from>
      <xdr:col>3</xdr:col>
      <xdr:colOff>589868</xdr:colOff>
      <xdr:row>14</xdr:row>
      <xdr:rowOff>26552</xdr:rowOff>
    </xdr:from>
    <xdr:to>
      <xdr:col>5</xdr:col>
      <xdr:colOff>473710</xdr:colOff>
      <xdr:row>16</xdr:row>
      <xdr:rowOff>13804</xdr:rowOff>
    </xdr:to>
    <xdr:sp macro="" textlink="profit">
      <xdr:nvSpPr>
        <xdr:cNvPr id="31" name="TextBox 30"/>
        <xdr:cNvSpPr txBox="1"/>
      </xdr:nvSpPr>
      <xdr:spPr>
        <a:xfrm>
          <a:off x="2418668" y="2634285"/>
          <a:ext cx="1103042" cy="359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D9A383-012E-4C72-B671-B88244FB758B}" type="TxLink">
            <a:rPr lang="en-US" sz="1800" b="1" i="0" u="none" strike="noStrike">
              <a:solidFill>
                <a:schemeClr val="bg1">
                  <a:lumMod val="85000"/>
                </a:schemeClr>
              </a:solidFill>
              <a:latin typeface="Calibri"/>
              <a:ea typeface="Calibri"/>
              <a:cs typeface="Calibri"/>
            </a:rPr>
            <a:pPr/>
            <a:t>₦16.8M</a:t>
          </a:fld>
          <a:endParaRPr lang="en-US" sz="3600" b="1">
            <a:solidFill>
              <a:schemeClr val="bg1">
                <a:lumMod val="85000"/>
              </a:schemeClr>
            </a:solidFill>
          </a:endParaRPr>
        </a:p>
      </xdr:txBody>
    </xdr:sp>
    <xdr:clientData/>
  </xdr:twoCellAnchor>
  <xdr:oneCellAnchor>
    <xdr:from>
      <xdr:col>11</xdr:col>
      <xdr:colOff>69047</xdr:colOff>
      <xdr:row>17</xdr:row>
      <xdr:rowOff>113998</xdr:rowOff>
    </xdr:from>
    <xdr:ext cx="1990182" cy="342786"/>
    <xdr:sp macro="" textlink="">
      <xdr:nvSpPr>
        <xdr:cNvPr id="32" name="TextBox 31"/>
        <xdr:cNvSpPr txBox="1"/>
      </xdr:nvSpPr>
      <xdr:spPr>
        <a:xfrm>
          <a:off x="6766992" y="3219409"/>
          <a:ext cx="199018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lumMod val="85000"/>
                </a:schemeClr>
              </a:solidFill>
            </a:rPr>
            <a:t>Revenue per Model</a:t>
          </a:r>
        </a:p>
      </xdr:txBody>
    </xdr:sp>
    <xdr:clientData/>
  </xdr:oneCellAnchor>
  <xdr:twoCellAnchor>
    <xdr:from>
      <xdr:col>3</xdr:col>
      <xdr:colOff>193596</xdr:colOff>
      <xdr:row>29</xdr:row>
      <xdr:rowOff>4463</xdr:rowOff>
    </xdr:from>
    <xdr:to>
      <xdr:col>9</xdr:col>
      <xdr:colOff>456890</xdr:colOff>
      <xdr:row>30</xdr:row>
      <xdr:rowOff>34608</xdr:rowOff>
    </xdr:to>
    <xdr:sp macro="" textlink="">
      <xdr:nvSpPr>
        <xdr:cNvPr id="34" name="TextBox 33"/>
        <xdr:cNvSpPr txBox="1"/>
      </xdr:nvSpPr>
      <xdr:spPr>
        <a:xfrm>
          <a:off x="2027159" y="4751088"/>
          <a:ext cx="3930419" cy="21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50000"/>
                </a:schemeClr>
              </a:solidFill>
            </a:rPr>
            <a:t>Insight</a:t>
          </a:r>
          <a:r>
            <a:rPr lang="en-US" sz="1100" baseline="0">
              <a:solidFill>
                <a:schemeClr val="bg1">
                  <a:lumMod val="50000"/>
                </a:schemeClr>
              </a:solidFill>
            </a:rPr>
            <a:t> and pricing, profit and inventory from a dummy dataset </a:t>
          </a:r>
          <a:endParaRPr lang="en-US" sz="1100">
            <a:solidFill>
              <a:schemeClr val="bg1">
                <a:lumMod val="50000"/>
              </a:schemeClr>
            </a:solidFill>
          </a:endParaRPr>
        </a:p>
      </xdr:txBody>
    </xdr:sp>
    <xdr:clientData/>
  </xdr:twoCellAnchor>
  <xdr:twoCellAnchor>
    <xdr:from>
      <xdr:col>10</xdr:col>
      <xdr:colOff>291337</xdr:colOff>
      <xdr:row>20</xdr:row>
      <xdr:rowOff>169797</xdr:rowOff>
    </xdr:from>
    <xdr:to>
      <xdr:col>15</xdr:col>
      <xdr:colOff>94874</xdr:colOff>
      <xdr:row>30</xdr:row>
      <xdr:rowOff>76665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15</xdr:col>
      <xdr:colOff>382655</xdr:colOff>
      <xdr:row>17</xdr:row>
      <xdr:rowOff>70967</xdr:rowOff>
    </xdr:from>
    <xdr:ext cx="2428797" cy="342786"/>
    <xdr:sp macro="" textlink="">
      <xdr:nvSpPr>
        <xdr:cNvPr id="43" name="TextBox 42"/>
        <xdr:cNvSpPr txBox="1"/>
      </xdr:nvSpPr>
      <xdr:spPr>
        <a:xfrm>
          <a:off x="9516217" y="3176378"/>
          <a:ext cx="242879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lumMod val="85000"/>
                </a:schemeClr>
              </a:solidFill>
            </a:rPr>
            <a:t>Selling</a:t>
          </a:r>
          <a:r>
            <a:rPr lang="en-US" sz="1600" b="1" baseline="0">
              <a:solidFill>
                <a:schemeClr val="bg1">
                  <a:lumMod val="85000"/>
                </a:schemeClr>
              </a:solidFill>
            </a:rPr>
            <a:t> Condition</a:t>
          </a:r>
          <a:r>
            <a:rPr lang="en-US" sz="1600" b="1">
              <a:solidFill>
                <a:schemeClr val="bg1">
                  <a:lumMod val="85000"/>
                </a:schemeClr>
              </a:solidFill>
            </a:rPr>
            <a:t> per Price</a:t>
          </a:r>
        </a:p>
      </xdr:txBody>
    </xdr:sp>
    <xdr:clientData/>
  </xdr:oneCellAnchor>
  <xdr:twoCellAnchor>
    <xdr:from>
      <xdr:col>14</xdr:col>
      <xdr:colOff>543490</xdr:colOff>
      <xdr:row>18</xdr:row>
      <xdr:rowOff>138293</xdr:rowOff>
    </xdr:from>
    <xdr:to>
      <xdr:col>19</xdr:col>
      <xdr:colOff>465173</xdr:colOff>
      <xdr:row>30</xdr:row>
      <xdr:rowOff>39481</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oneCellAnchor>
    <xdr:from>
      <xdr:col>6</xdr:col>
      <xdr:colOff>188852</xdr:colOff>
      <xdr:row>16</xdr:row>
      <xdr:rowOff>82681</xdr:rowOff>
    </xdr:from>
    <xdr:ext cx="2601950" cy="342786"/>
    <xdr:sp macro="" textlink="">
      <xdr:nvSpPr>
        <xdr:cNvPr id="38" name="TextBox 37"/>
        <xdr:cNvSpPr txBox="1"/>
      </xdr:nvSpPr>
      <xdr:spPr>
        <a:xfrm>
          <a:off x="3842277" y="3005421"/>
          <a:ext cx="26019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lumMod val="85000"/>
                </a:schemeClr>
              </a:solidFill>
            </a:rPr>
            <a:t>Manufacture</a:t>
          </a:r>
          <a:r>
            <a:rPr lang="en-US" sz="1600" b="1" baseline="0">
              <a:solidFill>
                <a:schemeClr val="bg1">
                  <a:lumMod val="85000"/>
                </a:schemeClr>
              </a:solidFill>
            </a:rPr>
            <a:t> year per price</a:t>
          </a:r>
          <a:endParaRPr lang="en-US" sz="1600" b="1">
            <a:solidFill>
              <a:schemeClr val="bg1">
                <a:lumMod val="85000"/>
              </a:schemeClr>
            </a:solidFill>
          </a:endParaRPr>
        </a:p>
      </xdr:txBody>
    </xdr:sp>
    <xdr:clientData/>
  </xdr:oneCellAnchor>
  <xdr:twoCellAnchor>
    <xdr:from>
      <xdr:col>4</xdr:col>
      <xdr:colOff>495192</xdr:colOff>
      <xdr:row>25</xdr:row>
      <xdr:rowOff>73577</xdr:rowOff>
    </xdr:from>
    <xdr:to>
      <xdr:col>6</xdr:col>
      <xdr:colOff>60374</xdr:colOff>
      <xdr:row>27</xdr:row>
      <xdr:rowOff>60829</xdr:rowOff>
    </xdr:to>
    <xdr:sp macro="" textlink="">
      <xdr:nvSpPr>
        <xdr:cNvPr id="41" name="TextBox 40"/>
        <xdr:cNvSpPr txBox="1"/>
      </xdr:nvSpPr>
      <xdr:spPr>
        <a:xfrm>
          <a:off x="2933592" y="4730244"/>
          <a:ext cx="784382" cy="359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lumMod val="85000"/>
                </a:schemeClr>
              </a:solidFill>
              <a:latin typeface="Calibri"/>
              <a:ea typeface="Calibri"/>
              <a:cs typeface="Calibri"/>
            </a:rPr>
            <a:t>pieces</a:t>
          </a:r>
          <a:endParaRPr lang="en-US" sz="1100" b="1" i="0" u="none" strike="noStrike">
            <a:solidFill>
              <a:schemeClr val="bg1">
                <a:lumMod val="85000"/>
              </a:schemeClr>
            </a:solidFill>
            <a:latin typeface="Calibri"/>
            <a:ea typeface="Calibri"/>
            <a:cs typeface="Calibri"/>
          </a:endParaRPr>
        </a:p>
      </xdr:txBody>
    </xdr:sp>
    <xdr:clientData/>
  </xdr:twoCellAnchor>
  <xdr:twoCellAnchor>
    <xdr:from>
      <xdr:col>16</xdr:col>
      <xdr:colOff>506954</xdr:colOff>
      <xdr:row>6</xdr:row>
      <xdr:rowOff>73606</xdr:rowOff>
    </xdr:from>
    <xdr:to>
      <xdr:col>19</xdr:col>
      <xdr:colOff>506955</xdr:colOff>
      <xdr:row>8</xdr:row>
      <xdr:rowOff>8952</xdr:rowOff>
    </xdr:to>
    <xdr:sp macro="" textlink="">
      <xdr:nvSpPr>
        <xdr:cNvPr id="42" name="Rounded Rectangle 41">
          <a:hlinkClick xmlns:r="http://schemas.openxmlformats.org/officeDocument/2006/relationships" r:id="rId22"/>
        </xdr:cNvPr>
        <xdr:cNvSpPr/>
      </xdr:nvSpPr>
      <xdr:spPr>
        <a:xfrm>
          <a:off x="10260554" y="1191206"/>
          <a:ext cx="1828801" cy="307879"/>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lumMod val="85000"/>
                </a:schemeClr>
              </a:solidFill>
            </a:rPr>
            <a:t>Buyers' Performance</a:t>
          </a:r>
        </a:p>
      </xdr:txBody>
    </xdr:sp>
    <xdr:clientData/>
  </xdr:twoCellAnchor>
  <xdr:twoCellAnchor>
    <xdr:from>
      <xdr:col>16</xdr:col>
      <xdr:colOff>498488</xdr:colOff>
      <xdr:row>4</xdr:row>
      <xdr:rowOff>66726</xdr:rowOff>
    </xdr:from>
    <xdr:to>
      <xdr:col>19</xdr:col>
      <xdr:colOff>498489</xdr:colOff>
      <xdr:row>6</xdr:row>
      <xdr:rowOff>2072</xdr:rowOff>
    </xdr:to>
    <xdr:sp macro="" textlink="">
      <xdr:nvSpPr>
        <xdr:cNvPr id="45" name="Rounded Rectangle 44">
          <a:hlinkClick xmlns:r="http://schemas.openxmlformats.org/officeDocument/2006/relationships" r:id="rId12"/>
        </xdr:cNvPr>
        <xdr:cNvSpPr/>
      </xdr:nvSpPr>
      <xdr:spPr>
        <a:xfrm>
          <a:off x="10252088" y="811793"/>
          <a:ext cx="1828801" cy="307879"/>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85000"/>
                </a:schemeClr>
              </a:solidFill>
            </a:rPr>
            <a:t>Monetary Insights</a:t>
          </a:r>
          <a:endParaRPr lang="en-US" sz="1100" b="1">
            <a:solidFill>
              <a:schemeClr val="bg1">
                <a:lumMod val="85000"/>
              </a:schemeClr>
            </a:solidFill>
          </a:endParaRPr>
        </a:p>
      </xdr:txBody>
    </xdr:sp>
    <xdr:clientData/>
  </xdr:twoCellAnchor>
  <xdr:twoCellAnchor editAs="oneCell">
    <xdr:from>
      <xdr:col>15</xdr:col>
      <xdr:colOff>231240</xdr:colOff>
      <xdr:row>8</xdr:row>
      <xdr:rowOff>166161</xdr:rowOff>
    </xdr:from>
    <xdr:to>
      <xdr:col>19</xdr:col>
      <xdr:colOff>524934</xdr:colOff>
      <xdr:row>12</xdr:row>
      <xdr:rowOff>160865</xdr:rowOff>
    </xdr:to>
    <mc:AlternateContent xmlns:mc="http://schemas.openxmlformats.org/markup-compatibility/2006" xmlns:a14="http://schemas.microsoft.com/office/drawing/2010/main">
      <mc:Choice Requires="a14">
        <xdr:graphicFrame macro="">
          <xdr:nvGraphicFramePr>
            <xdr:cNvPr id="46" name="Model"/>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9375240" y="1656294"/>
              <a:ext cx="2732094" cy="739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164043</xdr:colOff>
      <xdr:row>4</xdr:row>
      <xdr:rowOff>83080</xdr:rowOff>
    </xdr:from>
    <xdr:to>
      <xdr:col>21</xdr:col>
      <xdr:colOff>297394</xdr:colOff>
      <xdr:row>8</xdr:row>
      <xdr:rowOff>98956</xdr:rowOff>
    </xdr:to>
    <xdr:pic>
      <xdr:nvPicPr>
        <xdr:cNvPr id="19" name="Picture 18"/>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2356043" y="828147"/>
          <a:ext cx="742951" cy="760942"/>
        </a:xfrm>
        <a:prstGeom prst="rect">
          <a:avLst/>
        </a:prstGeom>
      </xdr:spPr>
    </xdr:pic>
    <xdr:clientData/>
  </xdr:twoCellAnchor>
  <xdr:twoCellAnchor>
    <xdr:from>
      <xdr:col>5</xdr:col>
      <xdr:colOff>483646</xdr:colOff>
      <xdr:row>16</xdr:row>
      <xdr:rowOff>50104</xdr:rowOff>
    </xdr:from>
    <xdr:to>
      <xdr:col>10</xdr:col>
      <xdr:colOff>365111</xdr:colOff>
      <xdr:row>29</xdr:row>
      <xdr:rowOff>67038</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143934</xdr:colOff>
      <xdr:row>2</xdr:row>
      <xdr:rowOff>50270</xdr:rowOff>
    </xdr:from>
    <xdr:to>
      <xdr:col>14</xdr:col>
      <xdr:colOff>601134</xdr:colOff>
      <xdr:row>5</xdr:row>
      <xdr:rowOff>50271</xdr:rowOff>
    </xdr:to>
    <xdr:sp macro="" textlink="">
      <xdr:nvSpPr>
        <xdr:cNvPr id="12" name="TextBox 11"/>
        <xdr:cNvSpPr txBox="1"/>
      </xdr:nvSpPr>
      <xdr:spPr>
        <a:xfrm>
          <a:off x="5020734" y="422803"/>
          <a:ext cx="4114800" cy="55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lumMod val="85000"/>
                </a:schemeClr>
              </a:solidFill>
              <a:effectLst/>
              <a:latin typeface="+mn-lt"/>
              <a:ea typeface="+mn-ea"/>
              <a:cs typeface="+mn-cs"/>
            </a:rPr>
            <a:t>Nigerian</a:t>
          </a:r>
          <a:r>
            <a:rPr lang="en-US" sz="2400" b="1" i="0" u="none" strike="noStrike" baseline="0">
              <a:solidFill>
                <a:schemeClr val="bg1">
                  <a:lumMod val="85000"/>
                </a:schemeClr>
              </a:solidFill>
              <a:effectLst/>
              <a:latin typeface="+mn-lt"/>
              <a:ea typeface="+mn-ea"/>
              <a:cs typeface="+mn-cs"/>
            </a:rPr>
            <a:t> Iphone Store Analysis</a:t>
          </a:r>
          <a:endParaRPr lang="en-US" sz="2400">
            <a:solidFill>
              <a:schemeClr val="bg1">
                <a:lumMod val="85000"/>
              </a:schemeClr>
            </a:solidFill>
          </a:endParaRPr>
        </a:p>
      </xdr:txBody>
    </xdr:sp>
    <xdr:clientData/>
  </xdr:twoCellAnchor>
  <xdr:twoCellAnchor editAs="oneCell">
    <xdr:from>
      <xdr:col>4</xdr:col>
      <xdr:colOff>171973</xdr:colOff>
      <xdr:row>4</xdr:row>
      <xdr:rowOff>140760</xdr:rowOff>
    </xdr:from>
    <xdr:to>
      <xdr:col>11</xdr:col>
      <xdr:colOff>488957</xdr:colOff>
      <xdr:row>7</xdr:row>
      <xdr:rowOff>437</xdr:rowOff>
    </xdr:to>
    <mc:AlternateContent xmlns:mc="http://schemas.openxmlformats.org/markup-compatibility/2006" xmlns:a14="http://schemas.microsoft.com/office/drawing/2010/main">
      <mc:Choice Requires="a14">
        <xdr:graphicFrame macro="">
          <xdr:nvGraphicFramePr>
            <xdr:cNvPr id="3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10373" y="885827"/>
              <a:ext cx="4584184" cy="418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3</xdr:row>
      <xdr:rowOff>142939</xdr:rowOff>
    </xdr:from>
    <xdr:to>
      <xdr:col>4</xdr:col>
      <xdr:colOff>22545</xdr:colOff>
      <xdr:row>29</xdr:row>
      <xdr:rowOff>148548</xdr:rowOff>
    </xdr:to>
    <xdr:sp macro="" textlink="">
      <xdr:nvSpPr>
        <xdr:cNvPr id="2" name="Rounded Rectangle 1"/>
        <xdr:cNvSpPr/>
      </xdr:nvSpPr>
      <xdr:spPr>
        <a:xfrm>
          <a:off x="1210910" y="142939"/>
          <a:ext cx="645198" cy="4752234"/>
        </a:xfrm>
        <a:prstGeom prst="roundRect">
          <a:avLst>
            <a:gd name="adj" fmla="val 12366"/>
          </a:avLst>
        </a:prstGeom>
        <a:solidFill>
          <a:schemeClr val="tx1">
            <a:alpha val="80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255261</xdr:colOff>
      <xdr:row>3</xdr:row>
      <xdr:rowOff>144661</xdr:rowOff>
    </xdr:from>
    <xdr:to>
      <xdr:col>21</xdr:col>
      <xdr:colOff>0</xdr:colOff>
      <xdr:row>29</xdr:row>
      <xdr:rowOff>150270</xdr:rowOff>
    </xdr:to>
    <xdr:sp macro="" textlink="">
      <xdr:nvSpPr>
        <xdr:cNvPr id="3" name="Rounded Rectangle 2"/>
        <xdr:cNvSpPr/>
      </xdr:nvSpPr>
      <xdr:spPr>
        <a:xfrm>
          <a:off x="2693661" y="703461"/>
          <a:ext cx="10107939" cy="4848542"/>
        </a:xfrm>
        <a:prstGeom prst="roundRect">
          <a:avLst>
            <a:gd name="adj" fmla="val 3569"/>
          </a:avLst>
        </a:prstGeom>
        <a:solidFill>
          <a:schemeClr val="tx1">
            <a:alpha val="80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editAs="oneCell">
    <xdr:from>
      <xdr:col>12</xdr:col>
      <xdr:colOff>249478</xdr:colOff>
      <xdr:row>4</xdr:row>
      <xdr:rowOff>43493</xdr:rowOff>
    </xdr:from>
    <xdr:to>
      <xdr:col>20</xdr:col>
      <xdr:colOff>591043</xdr:colOff>
      <xdr:row>29</xdr:row>
      <xdr:rowOff>111459</xdr:rowOff>
    </xdr:to>
    <xdr:pic>
      <xdr:nvPicPr>
        <xdr:cNvPr id="19" name="Picture 18"/>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92000"/>
                  </a14:imgEffect>
                </a14:imgLayer>
              </a14:imgProps>
            </a:ext>
            <a:ext uri="{28A0092B-C50C-407E-A947-70E740481C1C}">
              <a14:useLocalDpi xmlns:a14="http://schemas.microsoft.com/office/drawing/2010/main" val="0"/>
            </a:ext>
          </a:extLst>
        </a:blip>
        <a:stretch>
          <a:fillRect/>
        </a:stretch>
      </xdr:blipFill>
      <xdr:spPr>
        <a:xfrm>
          <a:off x="7556327" y="774178"/>
          <a:ext cx="5212798" cy="4634747"/>
        </a:xfrm>
        <a:prstGeom prst="roundRect">
          <a:avLst>
            <a:gd name="adj" fmla="val 1471"/>
          </a:avLst>
        </a:prstGeom>
      </xdr:spPr>
    </xdr:pic>
    <xdr:clientData/>
  </xdr:twoCellAnchor>
  <xdr:twoCellAnchor editAs="oneCell">
    <xdr:from>
      <xdr:col>3</xdr:col>
      <xdr:colOff>85314</xdr:colOff>
      <xdr:row>9</xdr:row>
      <xdr:rowOff>153452</xdr:rowOff>
    </xdr:from>
    <xdr:to>
      <xdr:col>3</xdr:col>
      <xdr:colOff>486563</xdr:colOff>
      <xdr:row>11</xdr:row>
      <xdr:rowOff>174308</xdr:rowOff>
    </xdr:to>
    <xdr:pic>
      <xdr:nvPicPr>
        <xdr:cNvPr id="10" name="Picture 9">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aturation sat="0"/>
                  </a14:imgEffect>
                </a14:imgLayer>
              </a14:imgProps>
            </a:ext>
            <a:ext uri="{28A0092B-C50C-407E-A947-70E740481C1C}">
              <a14:useLocalDpi xmlns:a14="http://schemas.microsoft.com/office/drawing/2010/main" val="0"/>
            </a:ext>
          </a:extLst>
        </a:blip>
        <a:stretch>
          <a:fillRect/>
        </a:stretch>
      </xdr:blipFill>
      <xdr:spPr>
        <a:xfrm>
          <a:off x="1304514" y="1829852"/>
          <a:ext cx="401249" cy="400579"/>
        </a:xfrm>
        <a:prstGeom prst="rect">
          <a:avLst/>
        </a:prstGeom>
      </xdr:spPr>
    </xdr:pic>
    <xdr:clientData/>
  </xdr:twoCellAnchor>
  <xdr:twoCellAnchor editAs="oneCell">
    <xdr:from>
      <xdr:col>3</xdr:col>
      <xdr:colOff>91425</xdr:colOff>
      <xdr:row>12</xdr:row>
      <xdr:rowOff>111474</xdr:rowOff>
    </xdr:from>
    <xdr:to>
      <xdr:col>3</xdr:col>
      <xdr:colOff>452700</xdr:colOff>
      <xdr:row>14</xdr:row>
      <xdr:rowOff>32605</xdr:rowOff>
    </xdr:to>
    <xdr:pic>
      <xdr:nvPicPr>
        <xdr:cNvPr id="11" name="Picture 10">
          <a:hlinkClick xmlns:r="http://schemas.openxmlformats.org/officeDocument/2006/relationships" r:id="rId6"/>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1372" b="88989" l="4513" r="96390"/>
                  </a14:imgEffect>
                  <a14:imgEffect>
                    <a14:saturation sat="0"/>
                  </a14:imgEffect>
                </a14:imgLayer>
              </a14:imgProps>
            </a:ext>
            <a:ext uri="{28A0092B-C50C-407E-A947-70E740481C1C}">
              <a14:useLocalDpi xmlns:a14="http://schemas.microsoft.com/office/drawing/2010/main" val="0"/>
            </a:ext>
          </a:extLst>
        </a:blip>
        <a:srcRect l="4224" t="11549" r="3521" b="11456"/>
        <a:stretch/>
      </xdr:blipFill>
      <xdr:spPr>
        <a:xfrm>
          <a:off x="1310625" y="2346674"/>
          <a:ext cx="361275" cy="300855"/>
        </a:xfrm>
        <a:prstGeom prst="rect">
          <a:avLst/>
        </a:prstGeom>
      </xdr:spPr>
    </xdr:pic>
    <xdr:clientData/>
  </xdr:twoCellAnchor>
  <xdr:twoCellAnchor editAs="oneCell">
    <xdr:from>
      <xdr:col>3</xdr:col>
      <xdr:colOff>99725</xdr:colOff>
      <xdr:row>14</xdr:row>
      <xdr:rowOff>165405</xdr:rowOff>
    </xdr:from>
    <xdr:to>
      <xdr:col>3</xdr:col>
      <xdr:colOff>461470</xdr:colOff>
      <xdr:row>16</xdr:row>
      <xdr:rowOff>146758</xdr:rowOff>
    </xdr:to>
    <xdr:pic>
      <xdr:nvPicPr>
        <xdr:cNvPr id="12" name="Picture 11">
          <a:hlinkClick xmlns:r="http://schemas.openxmlformats.org/officeDocument/2006/relationships" r:id="rId9"/>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1318925" y="2773138"/>
          <a:ext cx="361745" cy="361078"/>
        </a:xfrm>
        <a:prstGeom prst="rect">
          <a:avLst/>
        </a:prstGeom>
      </xdr:spPr>
    </xdr:pic>
    <xdr:clientData/>
  </xdr:twoCellAnchor>
  <xdr:twoCellAnchor editAs="oneCell">
    <xdr:from>
      <xdr:col>3</xdr:col>
      <xdr:colOff>0</xdr:colOff>
      <xdr:row>16</xdr:row>
      <xdr:rowOff>130769</xdr:rowOff>
    </xdr:from>
    <xdr:to>
      <xdr:col>3</xdr:col>
      <xdr:colOff>563150</xdr:colOff>
      <xdr:row>18</xdr:row>
      <xdr:rowOff>178642</xdr:rowOff>
    </xdr:to>
    <xdr:pic>
      <xdr:nvPicPr>
        <xdr:cNvPr id="13" name="Picture 12">
          <a:hlinkClick xmlns:r="http://schemas.openxmlformats.org/officeDocument/2006/relationships" r:id="rId12"/>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9778" b="93778" l="10000" r="90000">
                      <a14:foregroundMark x1="73333" y1="22667" x2="70000" y2="34222"/>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212266" y="3111036"/>
          <a:ext cx="563150" cy="427597"/>
        </a:xfrm>
        <a:prstGeom prst="rect">
          <a:avLst/>
        </a:prstGeom>
      </xdr:spPr>
    </xdr:pic>
    <xdr:clientData/>
  </xdr:twoCellAnchor>
  <xdr:twoCellAnchor>
    <xdr:from>
      <xdr:col>4</xdr:col>
      <xdr:colOff>427163</xdr:colOff>
      <xdr:row>6</xdr:row>
      <xdr:rowOff>67537</xdr:rowOff>
    </xdr:from>
    <xdr:to>
      <xdr:col>12</xdr:col>
      <xdr:colOff>79101</xdr:colOff>
      <xdr:row>12</xdr:row>
      <xdr:rowOff>54015</xdr:rowOff>
    </xdr:to>
    <xdr:sp macro="" textlink="">
      <xdr:nvSpPr>
        <xdr:cNvPr id="18" name="Rounded Rectangle 17"/>
        <xdr:cNvSpPr/>
      </xdr:nvSpPr>
      <xdr:spPr>
        <a:xfrm>
          <a:off x="2862779" y="1163564"/>
          <a:ext cx="4523171" cy="1082506"/>
        </a:xfrm>
        <a:prstGeom prst="roundRect">
          <a:avLst/>
        </a:prstGeom>
        <a:solidFill>
          <a:schemeClr val="tx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451321</xdr:colOff>
      <xdr:row>6</xdr:row>
      <xdr:rowOff>154561</xdr:rowOff>
    </xdr:from>
    <xdr:to>
      <xdr:col>5</xdr:col>
      <xdr:colOff>366993</xdr:colOff>
      <xdr:row>8</xdr:row>
      <xdr:rowOff>178602</xdr:rowOff>
    </xdr:to>
    <xdr:pic>
      <xdr:nvPicPr>
        <xdr:cNvPr id="4" name="Picture 3"/>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2886937" y="1250588"/>
          <a:ext cx="524577" cy="389384"/>
        </a:xfrm>
        <a:prstGeom prst="rect">
          <a:avLst/>
        </a:prstGeom>
      </xdr:spPr>
    </xdr:pic>
    <xdr:clientData/>
  </xdr:twoCellAnchor>
  <xdr:twoCellAnchor editAs="oneCell">
    <xdr:from>
      <xdr:col>8</xdr:col>
      <xdr:colOff>368217</xdr:colOff>
      <xdr:row>7</xdr:row>
      <xdr:rowOff>3590</xdr:rowOff>
    </xdr:from>
    <xdr:to>
      <xdr:col>9</xdr:col>
      <xdr:colOff>150057</xdr:colOff>
      <xdr:row>9</xdr:row>
      <xdr:rowOff>13949</xdr:rowOff>
    </xdr:to>
    <xdr:pic>
      <xdr:nvPicPr>
        <xdr:cNvPr id="5" name="Picture 4"/>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5239450" y="1282289"/>
          <a:ext cx="390744" cy="375701"/>
        </a:xfrm>
        <a:prstGeom prst="rect">
          <a:avLst/>
        </a:prstGeom>
      </xdr:spPr>
    </xdr:pic>
    <xdr:clientData/>
  </xdr:twoCellAnchor>
  <xdr:twoCellAnchor>
    <xdr:from>
      <xdr:col>4</xdr:col>
      <xdr:colOff>437093</xdr:colOff>
      <xdr:row>9</xdr:row>
      <xdr:rowOff>91015</xdr:rowOff>
    </xdr:from>
    <xdr:to>
      <xdr:col>7</xdr:col>
      <xdr:colOff>196393</xdr:colOff>
      <xdr:row>11</xdr:row>
      <xdr:rowOff>63509</xdr:rowOff>
    </xdr:to>
    <xdr:sp macro="" textlink="">
      <xdr:nvSpPr>
        <xdr:cNvPr id="20" name="TextBox 19"/>
        <xdr:cNvSpPr txBox="1"/>
      </xdr:nvSpPr>
      <xdr:spPr>
        <a:xfrm>
          <a:off x="2872709" y="1735056"/>
          <a:ext cx="1586013" cy="337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Most</a:t>
          </a:r>
          <a:r>
            <a:rPr lang="en-US" sz="1200" b="1" i="0" u="none" strike="noStrike" baseline="0">
              <a:solidFill>
                <a:schemeClr val="bg1">
                  <a:lumMod val="85000"/>
                </a:schemeClr>
              </a:solidFill>
              <a:effectLst/>
              <a:latin typeface="+mn-lt"/>
              <a:ea typeface="+mn-ea"/>
              <a:cs typeface="+mn-cs"/>
            </a:rPr>
            <a:t> Purchase</a:t>
          </a:r>
          <a:r>
            <a:rPr lang="en-US" sz="1200" b="1" i="0" u="none" strike="noStrike">
              <a:solidFill>
                <a:schemeClr val="bg1">
                  <a:lumMod val="85000"/>
                </a:schemeClr>
              </a:solidFill>
              <a:effectLst/>
              <a:latin typeface="+mn-lt"/>
              <a:ea typeface="+mn-ea"/>
              <a:cs typeface="+mn-cs"/>
            </a:rPr>
            <a:t> Model</a:t>
          </a:r>
          <a:endParaRPr lang="en-US" sz="1200">
            <a:solidFill>
              <a:schemeClr val="bg1">
                <a:lumMod val="85000"/>
              </a:schemeClr>
            </a:solidFill>
          </a:endParaRPr>
        </a:p>
      </xdr:txBody>
    </xdr:sp>
    <xdr:clientData/>
  </xdr:twoCellAnchor>
  <xdr:twoCellAnchor>
    <xdr:from>
      <xdr:col>8</xdr:col>
      <xdr:colOff>152230</xdr:colOff>
      <xdr:row>9</xdr:row>
      <xdr:rowOff>99224</xdr:rowOff>
    </xdr:from>
    <xdr:to>
      <xdr:col>11</xdr:col>
      <xdr:colOff>355414</xdr:colOff>
      <xdr:row>11</xdr:row>
      <xdr:rowOff>42334</xdr:rowOff>
    </xdr:to>
    <xdr:sp macro="" textlink="">
      <xdr:nvSpPr>
        <xdr:cNvPr id="21" name="TextBox 20"/>
        <xdr:cNvSpPr txBox="1"/>
      </xdr:nvSpPr>
      <xdr:spPr>
        <a:xfrm>
          <a:off x="5023463" y="1743265"/>
          <a:ext cx="2029896" cy="30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85000"/>
                </a:schemeClr>
              </a:solidFill>
              <a:effectLst/>
              <a:latin typeface="+mn-lt"/>
              <a:ea typeface="+mn-ea"/>
              <a:cs typeface="+mn-cs"/>
            </a:rPr>
            <a:t>State with Most Sales</a:t>
          </a:r>
          <a:endParaRPr lang="en-US" sz="1200">
            <a:solidFill>
              <a:schemeClr val="bg1">
                <a:lumMod val="85000"/>
              </a:schemeClr>
            </a:solidFill>
          </a:endParaRPr>
        </a:p>
      </xdr:txBody>
    </xdr:sp>
    <xdr:clientData/>
  </xdr:twoCellAnchor>
  <xdr:twoCellAnchor editAs="oneCell">
    <xdr:from>
      <xdr:col>3</xdr:col>
      <xdr:colOff>26863</xdr:colOff>
      <xdr:row>18</xdr:row>
      <xdr:rowOff>173913</xdr:rowOff>
    </xdr:from>
    <xdr:to>
      <xdr:col>3</xdr:col>
      <xdr:colOff>561081</xdr:colOff>
      <xdr:row>21</xdr:row>
      <xdr:rowOff>84063</xdr:rowOff>
    </xdr:to>
    <xdr:pic>
      <xdr:nvPicPr>
        <xdr:cNvPr id="26" name="Picture 25">
          <a:hlinkClick xmlns:r="http://schemas.openxmlformats.org/officeDocument/2006/relationships" r:id="rId18"/>
        </xdr:cNvPr>
        <xdr:cNvPicPr>
          <a:picLocks noChangeAspect="1"/>
        </xdr:cNvPicPr>
      </xdr:nvPicPr>
      <xdr:blipFill>
        <a:blip xmlns:r="http://schemas.openxmlformats.org/officeDocument/2006/relationships" r:embed="rId19" cstate="print">
          <a:duotone>
            <a:prstClr val="black"/>
            <a:schemeClr val="tx2">
              <a:tint val="45000"/>
              <a:satMod val="400000"/>
            </a:schemeClr>
          </a:duotone>
          <a:extLst>
            <a:ext uri="{BEBA8EAE-BF5A-486C-A8C5-ECC9F3942E4B}">
              <a14:imgProps xmlns:a14="http://schemas.microsoft.com/office/drawing/2010/main">
                <a14:imgLayer r:embed="rId20">
                  <a14:imgEffect>
                    <a14:backgroundRemoval t="18284" b="83955" l="4667" r="96667"/>
                  </a14:imgEffect>
                </a14:imgLayer>
              </a14:imgProps>
            </a:ext>
            <a:ext uri="{28A0092B-C50C-407E-A947-70E740481C1C}">
              <a14:useLocalDpi xmlns:a14="http://schemas.microsoft.com/office/drawing/2010/main" val="0"/>
            </a:ext>
          </a:extLst>
        </a:blip>
        <a:stretch>
          <a:fillRect/>
        </a:stretch>
      </xdr:blipFill>
      <xdr:spPr>
        <a:xfrm>
          <a:off x="1246063" y="3526713"/>
          <a:ext cx="534218" cy="479736"/>
        </a:xfrm>
        <a:prstGeom prst="rect">
          <a:avLst/>
        </a:prstGeom>
      </xdr:spPr>
    </xdr:pic>
    <xdr:clientData/>
  </xdr:twoCellAnchor>
  <xdr:twoCellAnchor>
    <xdr:from>
      <xdr:col>5</xdr:col>
      <xdr:colOff>337575</xdr:colOff>
      <xdr:row>7</xdr:row>
      <xdr:rowOff>73234</xdr:rowOff>
    </xdr:from>
    <xdr:to>
      <xdr:col>7</xdr:col>
      <xdr:colOff>420863</xdr:colOff>
      <xdr:row>9</xdr:row>
      <xdr:rowOff>96466</xdr:rowOff>
    </xdr:to>
    <xdr:sp macro="" textlink="iphone">
      <xdr:nvSpPr>
        <xdr:cNvPr id="27" name="TextBox 26"/>
        <xdr:cNvSpPr txBox="1"/>
      </xdr:nvSpPr>
      <xdr:spPr>
        <a:xfrm>
          <a:off x="3382096" y="1351933"/>
          <a:ext cx="1301096" cy="38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B4198A-9AE7-4E55-9298-51220727580D}" type="TxLink">
            <a:rPr lang="en-US" sz="1800" b="1" i="0" u="none" strike="noStrike">
              <a:solidFill>
                <a:schemeClr val="bg1">
                  <a:lumMod val="85000"/>
                </a:schemeClr>
              </a:solidFill>
              <a:latin typeface="Calibri"/>
              <a:ea typeface="Calibri"/>
              <a:cs typeface="Calibri"/>
            </a:rPr>
            <a:pPr/>
            <a:t>iPhone 11</a:t>
          </a:fld>
          <a:endParaRPr lang="en-US" sz="5400" b="1">
            <a:solidFill>
              <a:schemeClr val="bg1">
                <a:lumMod val="85000"/>
              </a:schemeClr>
            </a:solidFill>
          </a:endParaRPr>
        </a:p>
      </xdr:txBody>
    </xdr:sp>
    <xdr:clientData/>
  </xdr:twoCellAnchor>
  <xdr:twoCellAnchor>
    <xdr:from>
      <xdr:col>9</xdr:col>
      <xdr:colOff>282014</xdr:colOff>
      <xdr:row>7</xdr:row>
      <xdr:rowOff>73234</xdr:rowOff>
    </xdr:from>
    <xdr:to>
      <xdr:col>11</xdr:col>
      <xdr:colOff>165855</xdr:colOff>
      <xdr:row>9</xdr:row>
      <xdr:rowOff>96466</xdr:rowOff>
    </xdr:to>
    <xdr:sp macro="" textlink="lagos">
      <xdr:nvSpPr>
        <xdr:cNvPr id="28" name="TextBox 27"/>
        <xdr:cNvSpPr txBox="1"/>
      </xdr:nvSpPr>
      <xdr:spPr>
        <a:xfrm>
          <a:off x="5762151" y="1351933"/>
          <a:ext cx="1101649" cy="38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7309DB-C7F3-4655-AEF1-6119C678D8F4}" type="TxLink">
            <a:rPr lang="en-US" sz="1800" b="1" i="0" u="none" strike="noStrike">
              <a:solidFill>
                <a:schemeClr val="bg1">
                  <a:lumMod val="85000"/>
                </a:schemeClr>
              </a:solidFill>
              <a:latin typeface="Calibri"/>
              <a:ea typeface="Calibri"/>
              <a:cs typeface="Calibri"/>
            </a:rPr>
            <a:pPr/>
            <a:t>Abuja</a:t>
          </a:fld>
          <a:endParaRPr lang="en-US" sz="3600" b="1">
            <a:solidFill>
              <a:schemeClr val="bg1">
                <a:lumMod val="85000"/>
              </a:schemeClr>
            </a:solidFill>
          </a:endParaRPr>
        </a:p>
      </xdr:txBody>
    </xdr:sp>
    <xdr:clientData/>
  </xdr:twoCellAnchor>
  <xdr:twoCellAnchor>
    <xdr:from>
      <xdr:col>4</xdr:col>
      <xdr:colOff>216830</xdr:colOff>
      <xdr:row>28</xdr:row>
      <xdr:rowOff>112672</xdr:rowOff>
    </xdr:from>
    <xdr:to>
      <xdr:col>11</xdr:col>
      <xdr:colOff>0</xdr:colOff>
      <xdr:row>29</xdr:row>
      <xdr:rowOff>174625</xdr:rowOff>
    </xdr:to>
    <xdr:sp macro="" textlink="">
      <xdr:nvSpPr>
        <xdr:cNvPr id="31" name="TextBox 30"/>
        <xdr:cNvSpPr txBox="1"/>
      </xdr:nvSpPr>
      <xdr:spPr>
        <a:xfrm>
          <a:off x="2050393" y="4676735"/>
          <a:ext cx="4061482" cy="24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50000"/>
                </a:schemeClr>
              </a:solidFill>
            </a:rPr>
            <a:t>Insight</a:t>
          </a:r>
          <a:r>
            <a:rPr lang="en-US" sz="1100" baseline="0">
              <a:solidFill>
                <a:schemeClr val="bg1">
                  <a:lumMod val="50000"/>
                </a:schemeClr>
              </a:solidFill>
            </a:rPr>
            <a:t> and pricing, profit and inventory from a dummy dataset set</a:t>
          </a:r>
          <a:endParaRPr lang="en-US" sz="1100">
            <a:solidFill>
              <a:schemeClr val="bg1">
                <a:lumMod val="50000"/>
              </a:schemeClr>
            </a:solidFill>
          </a:endParaRPr>
        </a:p>
      </xdr:txBody>
    </xdr:sp>
    <xdr:clientData/>
  </xdr:twoCellAnchor>
  <xdr:twoCellAnchor>
    <xdr:from>
      <xdr:col>11</xdr:col>
      <xdr:colOff>406400</xdr:colOff>
      <xdr:row>17</xdr:row>
      <xdr:rowOff>137611</xdr:rowOff>
    </xdr:from>
    <xdr:to>
      <xdr:col>15</xdr:col>
      <xdr:colOff>499328</xdr:colOff>
      <xdr:row>19</xdr:row>
      <xdr:rowOff>125413</xdr:rowOff>
    </xdr:to>
    <xdr:sp macro="" textlink="">
      <xdr:nvSpPr>
        <xdr:cNvPr id="17" name="TextBox 16"/>
        <xdr:cNvSpPr txBox="1"/>
      </xdr:nvSpPr>
      <xdr:spPr>
        <a:xfrm>
          <a:off x="7112000" y="3304144"/>
          <a:ext cx="2531328" cy="360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Iphone</a:t>
          </a:r>
          <a:r>
            <a:rPr lang="en-US" sz="1600" b="1" baseline="0">
              <a:solidFill>
                <a:schemeClr val="bg1">
                  <a:lumMod val="85000"/>
                </a:schemeClr>
              </a:solidFill>
            </a:rPr>
            <a:t> Sold per State</a:t>
          </a:r>
          <a:endParaRPr lang="en-US" sz="1600" b="1">
            <a:solidFill>
              <a:schemeClr val="bg1">
                <a:lumMod val="85000"/>
              </a:schemeClr>
            </a:solidFill>
          </a:endParaRPr>
        </a:p>
      </xdr:txBody>
    </xdr:sp>
    <xdr:clientData/>
  </xdr:twoCellAnchor>
  <xdr:twoCellAnchor>
    <xdr:from>
      <xdr:col>16</xdr:col>
      <xdr:colOff>188538</xdr:colOff>
      <xdr:row>20</xdr:row>
      <xdr:rowOff>160866</xdr:rowOff>
    </xdr:from>
    <xdr:to>
      <xdr:col>20</xdr:col>
      <xdr:colOff>550333</xdr:colOff>
      <xdr:row>29</xdr:row>
      <xdr:rowOff>182664</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58027</xdr:colOff>
      <xdr:row>18</xdr:row>
      <xdr:rowOff>156943</xdr:rowOff>
    </xdr:from>
    <xdr:to>
      <xdr:col>20</xdr:col>
      <xdr:colOff>528237</xdr:colOff>
      <xdr:row>20</xdr:row>
      <xdr:rowOff>143933</xdr:rowOff>
    </xdr:to>
    <xdr:sp macro="" textlink="">
      <xdr:nvSpPr>
        <xdr:cNvPr id="35" name="TextBox 34"/>
        <xdr:cNvSpPr txBox="1"/>
      </xdr:nvSpPr>
      <xdr:spPr>
        <a:xfrm>
          <a:off x="10421227" y="3509743"/>
          <a:ext cx="2299010" cy="359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Storage Capacity</a:t>
          </a:r>
          <a:r>
            <a:rPr lang="en-US" sz="1600" b="1" baseline="0">
              <a:solidFill>
                <a:schemeClr val="bg1">
                  <a:lumMod val="85000"/>
                </a:schemeClr>
              </a:solidFill>
            </a:rPr>
            <a:t> sold </a:t>
          </a:r>
          <a:endParaRPr lang="en-US" sz="1600" b="1">
            <a:solidFill>
              <a:schemeClr val="bg1">
                <a:lumMod val="85000"/>
              </a:schemeClr>
            </a:solidFill>
          </a:endParaRPr>
        </a:p>
      </xdr:txBody>
    </xdr:sp>
    <xdr:clientData/>
  </xdr:twoCellAnchor>
  <xdr:twoCellAnchor>
    <xdr:from>
      <xdr:col>5</xdr:col>
      <xdr:colOff>117796</xdr:colOff>
      <xdr:row>17</xdr:row>
      <xdr:rowOff>179698</xdr:rowOff>
    </xdr:from>
    <xdr:to>
      <xdr:col>8</xdr:col>
      <xdr:colOff>342371</xdr:colOff>
      <xdr:row>19</xdr:row>
      <xdr:rowOff>166688</xdr:rowOff>
    </xdr:to>
    <xdr:sp macro="" textlink="">
      <xdr:nvSpPr>
        <xdr:cNvPr id="37" name="TextBox 36"/>
        <xdr:cNvSpPr txBox="1"/>
      </xdr:nvSpPr>
      <xdr:spPr>
        <a:xfrm>
          <a:off x="3165796" y="3346231"/>
          <a:ext cx="2053375" cy="35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lumMod val="85000"/>
                </a:schemeClr>
              </a:solidFill>
            </a:rPr>
            <a:t>Color per Model </a:t>
          </a:r>
          <a:endParaRPr lang="en-US" sz="1600" b="1">
            <a:solidFill>
              <a:schemeClr val="bg1">
                <a:lumMod val="85000"/>
              </a:schemeClr>
            </a:solidFill>
          </a:endParaRPr>
        </a:p>
      </xdr:txBody>
    </xdr:sp>
    <xdr:clientData/>
  </xdr:twoCellAnchor>
  <xdr:twoCellAnchor>
    <xdr:from>
      <xdr:col>17</xdr:col>
      <xdr:colOff>571501</xdr:colOff>
      <xdr:row>3</xdr:row>
      <xdr:rowOff>169857</xdr:rowOff>
    </xdr:from>
    <xdr:to>
      <xdr:col>20</xdr:col>
      <xdr:colOff>571501</xdr:colOff>
      <xdr:row>5</xdr:row>
      <xdr:rowOff>169858</xdr:rowOff>
    </xdr:to>
    <xdr:sp macro="" textlink="">
      <xdr:nvSpPr>
        <xdr:cNvPr id="8" name="Rounded Rectangle 7">
          <a:hlinkClick xmlns:r="http://schemas.openxmlformats.org/officeDocument/2006/relationships" r:id="rId12"/>
        </xdr:cNvPr>
        <xdr:cNvSpPr/>
      </xdr:nvSpPr>
      <xdr:spPr>
        <a:xfrm>
          <a:off x="10325101" y="728657"/>
          <a:ext cx="1828800" cy="372534"/>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85000"/>
                </a:schemeClr>
              </a:solidFill>
            </a:rPr>
            <a:t>Monetary Insights</a:t>
          </a:r>
        </a:p>
      </xdr:txBody>
    </xdr:sp>
    <xdr:clientData/>
  </xdr:twoCellAnchor>
  <xdr:twoCellAnchor>
    <xdr:from>
      <xdr:col>17</xdr:col>
      <xdr:colOff>571501</xdr:colOff>
      <xdr:row>5</xdr:row>
      <xdr:rowOff>185733</xdr:rowOff>
    </xdr:from>
    <xdr:to>
      <xdr:col>20</xdr:col>
      <xdr:colOff>571501</xdr:colOff>
      <xdr:row>7</xdr:row>
      <xdr:rowOff>185732</xdr:rowOff>
    </xdr:to>
    <xdr:sp macro="" textlink="">
      <xdr:nvSpPr>
        <xdr:cNvPr id="41" name="Rounded Rectangle 40">
          <a:hlinkClick xmlns:r="http://schemas.openxmlformats.org/officeDocument/2006/relationships" r:id="rId18"/>
        </xdr:cNvPr>
        <xdr:cNvSpPr/>
      </xdr:nvSpPr>
      <xdr:spPr>
        <a:xfrm>
          <a:off x="10325101" y="1117066"/>
          <a:ext cx="1828800" cy="372533"/>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85000"/>
                </a:schemeClr>
              </a:solidFill>
            </a:rPr>
            <a:t>Buyers' Performance</a:t>
          </a:r>
        </a:p>
      </xdr:txBody>
    </xdr:sp>
    <xdr:clientData/>
  </xdr:twoCellAnchor>
  <xdr:twoCellAnchor editAs="oneCell">
    <xdr:from>
      <xdr:col>4</xdr:col>
      <xdr:colOff>372534</xdr:colOff>
      <xdr:row>4</xdr:row>
      <xdr:rowOff>33867</xdr:rowOff>
    </xdr:from>
    <xdr:to>
      <xdr:col>12</xdr:col>
      <xdr:colOff>74351</xdr:colOff>
      <xdr:row>6</xdr:row>
      <xdr:rowOff>72620</xdr:rowOff>
    </xdr:to>
    <mc:AlternateContent xmlns:mc="http://schemas.openxmlformats.org/markup-compatibility/2006" xmlns:a14="http://schemas.microsoft.com/office/drawing/2010/main">
      <mc:Choice Requires="a14">
        <xdr:graphicFrame macro="">
          <xdr:nvGraphicFramePr>
            <xdr:cNvPr id="4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01334" y="778934"/>
              <a:ext cx="4584184" cy="418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587905</xdr:colOff>
      <xdr:row>19</xdr:row>
      <xdr:rowOff>156633</xdr:rowOff>
    </xdr:from>
    <xdr:to>
      <xdr:col>16</xdr:col>
      <xdr:colOff>41805</xdr:colOff>
      <xdr:row>29</xdr:row>
      <xdr:rowOff>180446</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182034</xdr:colOff>
      <xdr:row>18</xdr:row>
      <xdr:rowOff>184680</xdr:rowOff>
    </xdr:from>
    <xdr:to>
      <xdr:col>10</xdr:col>
      <xdr:colOff>94722</xdr:colOff>
      <xdr:row>29</xdr:row>
      <xdr:rowOff>62442</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xdr:col>
      <xdr:colOff>1</xdr:colOff>
      <xdr:row>4</xdr:row>
      <xdr:rowOff>7938</xdr:rowOff>
    </xdr:from>
    <xdr:to>
      <xdr:col>4</xdr:col>
      <xdr:colOff>23116</xdr:colOff>
      <xdr:row>8</xdr:row>
      <xdr:rowOff>36419</xdr:rowOff>
    </xdr:to>
    <xdr:pic>
      <xdr:nvPicPr>
        <xdr:cNvPr id="38" name="Picture 37"/>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219201" y="753005"/>
          <a:ext cx="633411" cy="787928"/>
        </a:xfrm>
        <a:prstGeom prst="rect">
          <a:avLst/>
        </a:prstGeom>
      </xdr:spPr>
    </xdr:pic>
    <xdr:clientData/>
  </xdr:twoCellAnchor>
  <xdr:twoCellAnchor editAs="oneCell">
    <xdr:from>
      <xdr:col>16</xdr:col>
      <xdr:colOff>228600</xdr:colOff>
      <xdr:row>13</xdr:row>
      <xdr:rowOff>59267</xdr:rowOff>
    </xdr:from>
    <xdr:to>
      <xdr:col>20</xdr:col>
      <xdr:colOff>519510</xdr:colOff>
      <xdr:row>17</xdr:row>
      <xdr:rowOff>39591</xdr:rowOff>
    </xdr:to>
    <mc:AlternateContent xmlns:mc="http://schemas.openxmlformats.org/markup-compatibility/2006" xmlns:a14="http://schemas.microsoft.com/office/drawing/2010/main">
      <mc:Choice Requires="a14">
        <xdr:graphicFrame macro="">
          <xdr:nvGraphicFramePr>
            <xdr:cNvPr id="30" name="Model 1"/>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9372600" y="2480734"/>
              <a:ext cx="2732094" cy="739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863.624537384261" createdVersion="6" refreshedVersion="6" minRefreshableVersion="3" recordCount="100">
  <cacheSource type="worksheet">
    <worksheetSource name="a"/>
  </cacheSource>
  <cacheFields count="18">
    <cacheField name="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Amount" numFmtId="0">
      <sharedItems containsSemiMixedTypes="0" containsString="0" containsNumber="1" containsInteger="1" minValue="152585" maxValue="1197969" count="100">
        <n v="823043"/>
        <n v="929578"/>
        <n v="1055102"/>
        <n v="196220"/>
        <n v="662428"/>
        <n v="990859"/>
        <n v="996892"/>
        <n v="350997"/>
        <n v="283124"/>
        <n v="293356"/>
        <n v="784404"/>
        <n v="152585"/>
        <n v="477874"/>
        <n v="533597"/>
        <n v="845118"/>
        <n v="456424"/>
        <n v="301264"/>
        <n v="768358"/>
        <n v="1144227"/>
        <n v="965913"/>
        <n v="156945"/>
        <n v="748001"/>
        <n v="207199"/>
        <n v="727257"/>
        <n v="604937"/>
        <n v="1103645"/>
        <n v="677226"/>
        <n v="515754"/>
        <n v="592872"/>
        <n v="1073899"/>
        <n v="581296"/>
        <n v="370985"/>
        <n v="852767"/>
        <n v="480930"/>
        <n v="202079"/>
        <n v="933341"/>
        <n v="226558"/>
        <n v="948694"/>
        <n v="537691"/>
        <n v="830816"/>
        <n v="732138"/>
        <n v="1061729"/>
        <n v="1171825"/>
        <n v="302747"/>
        <n v="637737"/>
        <n v="288918"/>
        <n v="875265"/>
        <n v="469470"/>
        <n v="466020"/>
        <n v="629765"/>
        <n v="174842"/>
        <n v="761616"/>
        <n v="546729"/>
        <n v="1173922"/>
        <n v="469143"/>
        <n v="873450"/>
        <n v="659936"/>
        <n v="865440"/>
        <n v="289714"/>
        <n v="1128078"/>
        <n v="882805"/>
        <n v="440428"/>
        <n v="405613"/>
        <n v="689705"/>
        <n v="277517"/>
        <n v="1066766"/>
        <n v="243975"/>
        <n v="441395"/>
        <n v="1196727"/>
        <n v="512217"/>
        <n v="228443"/>
        <n v="241525"/>
        <n v="859904"/>
        <n v="799497"/>
        <n v="844335"/>
        <n v="745528"/>
        <n v="190357"/>
        <n v="799434"/>
        <n v="932040"/>
        <n v="880577"/>
        <n v="899428"/>
        <n v="861426"/>
        <n v="528545"/>
        <n v="598420"/>
        <n v="1197969"/>
        <n v="1078022"/>
        <n v="525074"/>
        <n v="824072"/>
        <n v="998177"/>
        <n v="618401"/>
        <n v="869637"/>
        <n v="1166444"/>
        <n v="196626"/>
        <n v="456282"/>
        <n v="942119"/>
        <n v="832364"/>
        <n v="1110771"/>
        <n v="826805"/>
        <n v="534409"/>
        <n v="909010"/>
      </sharedItems>
    </cacheField>
    <cacheField name="Region" numFmtId="0">
      <sharedItems count="5">
        <s v="Abuja"/>
        <s v="Port Harcourt"/>
        <s v="Lagos"/>
        <s v="Benin City"/>
        <s v="Ibadan"/>
      </sharedItems>
    </cacheField>
    <cacheField name="Make" numFmtId="0">
      <sharedItems/>
    </cacheField>
    <cacheField name="Model" numFmtId="0">
      <sharedItems count="5">
        <s v="iPhone 15"/>
        <s v="iPhone 14"/>
        <s v="iPhone 11"/>
        <s v="iPhone 13"/>
        <s v="iPhone 12"/>
      </sharedItems>
    </cacheField>
    <cacheField name="Year of manufacture" numFmtId="0">
      <sharedItems containsSemiMixedTypes="0" containsString="0" containsNumber="1" containsInteger="1" minValue="2019" maxValue="2024" count="6">
        <n v="2024"/>
        <n v="2021"/>
        <n v="2020"/>
        <n v="2022"/>
        <n v="2019"/>
        <n v="2023"/>
      </sharedItems>
    </cacheField>
    <cacheField name="Color" numFmtId="0">
      <sharedItems count="7">
        <s v="Red"/>
        <s v="Black"/>
        <s v="Silver"/>
        <s v="White"/>
        <s v="Blue"/>
        <s v="Purple"/>
        <s v="Gold"/>
      </sharedItems>
    </cacheField>
    <cacheField name="Condition" numFmtId="0">
      <sharedItems count="4">
        <s v="Refurbished"/>
        <s v="Like New"/>
        <s v="Used"/>
        <s v="New"/>
      </sharedItems>
    </cacheField>
    <cacheField name="Storage capacity" numFmtId="0">
      <sharedItems count="5">
        <s v="512GB"/>
        <s v="1TB"/>
        <s v="64GB"/>
        <s v="256GB"/>
        <s v="128GB"/>
      </sharedItems>
    </cacheField>
    <cacheField name="Camera quality" numFmtId="0">
      <sharedItems/>
    </cacheField>
    <cacheField name="Battery Life" numFmtId="9">
      <sharedItems containsSemiMixedTypes="0" containsString="0" containsNumber="1" minValue="0.85" maxValue="1" count="5">
        <n v="0.95"/>
        <n v="0.98"/>
        <n v="0.9"/>
        <n v="0.85"/>
        <n v="1"/>
      </sharedItems>
    </cacheField>
    <cacheField name="Selling condition" numFmtId="0">
      <sharedItems count="4">
        <s v="Good"/>
        <s v="Fair"/>
        <s v="Excellent"/>
        <s v="Needs Repair"/>
      </sharedItems>
    </cacheField>
    <cacheField name="Bought condition" numFmtId="0">
      <sharedItems/>
    </cacheField>
    <cacheField name="Price Bought" numFmtId="0">
      <sharedItems containsSemiMixedTypes="0" containsString="0" containsNumber="1" containsInteger="1" minValue="109622" maxValue="1012204"/>
    </cacheField>
    <cacheField name="Price Sold" numFmtId="0">
      <sharedItems containsSemiMixedTypes="0" containsString="0" containsNumber="1" containsInteger="1" minValue="152585" maxValue="1197969"/>
    </cacheField>
    <cacheField name="Profit" numFmtId="0">
      <sharedItems containsSemiMixedTypes="0" containsString="0" containsNumber="1" containsInteger="1" minValue="21295" maxValue="478504" count="100">
        <n v="324062"/>
        <n v="102098"/>
        <n v="261437"/>
        <n v="23750"/>
        <n v="115710"/>
        <n v="271117"/>
        <n v="207253"/>
        <n v="113827"/>
        <n v="74240"/>
        <n v="67724"/>
        <n v="309859"/>
        <n v="24766"/>
        <n v="50686"/>
        <n v="132344"/>
        <n v="136480"/>
        <n v="121048"/>
        <n v="66972"/>
        <n v="223446"/>
        <n v="216151"/>
        <n v="261399"/>
        <n v="47323"/>
        <n v="231719"/>
        <n v="42427"/>
        <n v="92459"/>
        <n v="144399"/>
        <n v="229994"/>
        <n v="143641"/>
        <n v="110556"/>
        <n v="219711"/>
        <n v="220200"/>
        <n v="199837"/>
        <n v="117865"/>
        <n v="229310"/>
        <n v="152301"/>
        <n v="42069"/>
        <n v="345217"/>
        <n v="35104"/>
        <n v="230923"/>
        <n v="132497"/>
        <n v="125624"/>
        <n v="152088"/>
        <n v="108830"/>
        <n v="187995"/>
        <n v="45739"/>
        <n v="249218"/>
        <n v="99086"/>
        <n v="301772"/>
        <n v="161261"/>
        <n v="48280"/>
        <n v="205771"/>
        <n v="21295"/>
        <n v="278432"/>
        <n v="76707"/>
        <n v="349468"/>
        <n v="73957"/>
        <n v="125604"/>
        <n v="118873"/>
        <n v="99079"/>
        <n v="77794"/>
        <n v="334022"/>
        <n v="259125"/>
        <n v="79456"/>
        <n v="79483"/>
        <n v="258080"/>
        <n v="104618"/>
        <n v="339754"/>
        <n v="33720"/>
        <n v="99714"/>
        <n v="478504"/>
        <n v="194584"/>
        <n v="40968"/>
        <n v="55597"/>
        <n v="282464"/>
        <n v="136906"/>
        <n v="158356"/>
        <n v="230273"/>
        <n v="71919"/>
        <n v="272999"/>
        <n v="361884"/>
        <n v="221895"/>
        <n v="126866"/>
        <n v="118101"/>
        <n v="103784"/>
        <n v="163526"/>
        <n v="185765"/>
        <n v="204929"/>
        <n v="120877"/>
        <n v="167443"/>
        <n v="352938"/>
        <n v="194994"/>
        <n v="241582"/>
        <n v="157581"/>
        <n v="31992"/>
        <n v="68360"/>
        <n v="359346"/>
        <n v="92898"/>
        <n v="437764"/>
        <n v="217877"/>
        <n v="168916"/>
        <n v="188359"/>
      </sharedItems>
    </cacheField>
    <cacheField name="Profitnpercentage " numFmtId="0" formula=" (Profit/Amount)*100" databaseField="0"/>
    <cacheField name="Profit Percentage" numFmtId="0" formula="Profit/Am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s v="Apple"/>
    <x v="0"/>
    <x v="0"/>
    <x v="0"/>
    <x v="0"/>
    <x v="0"/>
    <s v="Triple 12MP"/>
    <x v="0"/>
    <x v="0"/>
    <s v="Refurbished"/>
    <n v="498981"/>
    <n v="823043"/>
    <x v="0"/>
  </r>
  <r>
    <x v="1"/>
    <x v="1"/>
    <x v="1"/>
    <s v="Apple"/>
    <x v="1"/>
    <x v="1"/>
    <x v="1"/>
    <x v="0"/>
    <x v="0"/>
    <s v="Dual 12MP"/>
    <x v="1"/>
    <x v="0"/>
    <s v="Used"/>
    <n v="827480"/>
    <n v="929578"/>
    <x v="1"/>
  </r>
  <r>
    <x v="2"/>
    <x v="2"/>
    <x v="2"/>
    <s v="Apple"/>
    <x v="0"/>
    <x v="0"/>
    <x v="2"/>
    <x v="0"/>
    <x v="0"/>
    <s v="Triple 12MP"/>
    <x v="2"/>
    <x v="1"/>
    <s v="Refurbished"/>
    <n v="793665"/>
    <n v="1055102"/>
    <x v="2"/>
  </r>
  <r>
    <x v="3"/>
    <x v="3"/>
    <x v="3"/>
    <s v="Apple"/>
    <x v="1"/>
    <x v="2"/>
    <x v="3"/>
    <x v="1"/>
    <x v="1"/>
    <s v="Dual 12MP"/>
    <x v="0"/>
    <x v="2"/>
    <s v="Used"/>
    <n v="172470"/>
    <n v="196220"/>
    <x v="3"/>
  </r>
  <r>
    <x v="4"/>
    <x v="4"/>
    <x v="4"/>
    <s v="Apple"/>
    <x v="0"/>
    <x v="3"/>
    <x v="2"/>
    <x v="2"/>
    <x v="2"/>
    <s v="Triple 12MP"/>
    <x v="0"/>
    <x v="3"/>
    <s v="Used"/>
    <n v="546718"/>
    <n v="662428"/>
    <x v="4"/>
  </r>
  <r>
    <x v="5"/>
    <x v="5"/>
    <x v="4"/>
    <s v="Apple"/>
    <x v="2"/>
    <x v="4"/>
    <x v="2"/>
    <x v="0"/>
    <x v="3"/>
    <s v="Triple 12MP"/>
    <x v="1"/>
    <x v="3"/>
    <s v="Used"/>
    <n v="719742"/>
    <n v="990859"/>
    <x v="5"/>
  </r>
  <r>
    <x v="6"/>
    <x v="6"/>
    <x v="0"/>
    <s v="Apple"/>
    <x v="3"/>
    <x v="5"/>
    <x v="4"/>
    <x v="2"/>
    <x v="3"/>
    <s v="Dual 12MP"/>
    <x v="1"/>
    <x v="3"/>
    <s v="Refurbished"/>
    <n v="789639"/>
    <n v="996892"/>
    <x v="6"/>
  </r>
  <r>
    <x v="7"/>
    <x v="7"/>
    <x v="0"/>
    <s v="Apple"/>
    <x v="1"/>
    <x v="1"/>
    <x v="2"/>
    <x v="3"/>
    <x v="2"/>
    <s v="Triple 12MP"/>
    <x v="1"/>
    <x v="1"/>
    <s v="Used"/>
    <n v="237170"/>
    <n v="350997"/>
    <x v="7"/>
  </r>
  <r>
    <x v="8"/>
    <x v="8"/>
    <x v="0"/>
    <s v="Apple"/>
    <x v="4"/>
    <x v="0"/>
    <x v="5"/>
    <x v="1"/>
    <x v="1"/>
    <s v="12MP"/>
    <x v="1"/>
    <x v="1"/>
    <s v="New"/>
    <n v="208884"/>
    <n v="283124"/>
    <x v="8"/>
  </r>
  <r>
    <x v="9"/>
    <x v="9"/>
    <x v="4"/>
    <s v="Apple"/>
    <x v="1"/>
    <x v="3"/>
    <x v="2"/>
    <x v="2"/>
    <x v="1"/>
    <s v="48MP"/>
    <x v="2"/>
    <x v="2"/>
    <s v="Used"/>
    <n v="225632"/>
    <n v="293356"/>
    <x v="9"/>
  </r>
  <r>
    <x v="10"/>
    <x v="10"/>
    <x v="4"/>
    <s v="Apple"/>
    <x v="1"/>
    <x v="5"/>
    <x v="2"/>
    <x v="0"/>
    <x v="1"/>
    <s v="48MP"/>
    <x v="1"/>
    <x v="0"/>
    <s v="Refurbished"/>
    <n v="474545"/>
    <n v="784404"/>
    <x v="10"/>
  </r>
  <r>
    <x v="11"/>
    <x v="11"/>
    <x v="2"/>
    <s v="Apple"/>
    <x v="2"/>
    <x v="2"/>
    <x v="2"/>
    <x v="3"/>
    <x v="0"/>
    <s v="48MP"/>
    <x v="0"/>
    <x v="2"/>
    <s v="Refurbished"/>
    <n v="127819"/>
    <n v="152585"/>
    <x v="11"/>
  </r>
  <r>
    <x v="12"/>
    <x v="12"/>
    <x v="1"/>
    <s v="Apple"/>
    <x v="2"/>
    <x v="4"/>
    <x v="3"/>
    <x v="1"/>
    <x v="4"/>
    <s v="12MP"/>
    <x v="3"/>
    <x v="2"/>
    <s v="Used"/>
    <n v="427188"/>
    <n v="477874"/>
    <x v="12"/>
  </r>
  <r>
    <x v="13"/>
    <x v="13"/>
    <x v="2"/>
    <s v="Apple"/>
    <x v="1"/>
    <x v="0"/>
    <x v="3"/>
    <x v="1"/>
    <x v="0"/>
    <s v="Dual 12MP"/>
    <x v="3"/>
    <x v="2"/>
    <s v="Refurbished"/>
    <n v="401253"/>
    <n v="533597"/>
    <x v="13"/>
  </r>
  <r>
    <x v="14"/>
    <x v="14"/>
    <x v="3"/>
    <s v="Apple"/>
    <x v="2"/>
    <x v="3"/>
    <x v="6"/>
    <x v="0"/>
    <x v="3"/>
    <s v="Dual 12MP"/>
    <x v="3"/>
    <x v="0"/>
    <s v="Used"/>
    <n v="708638"/>
    <n v="845118"/>
    <x v="14"/>
  </r>
  <r>
    <x v="15"/>
    <x v="15"/>
    <x v="3"/>
    <s v="Apple"/>
    <x v="4"/>
    <x v="4"/>
    <x v="4"/>
    <x v="2"/>
    <x v="2"/>
    <s v="12MP"/>
    <x v="2"/>
    <x v="0"/>
    <s v="Used"/>
    <n v="335376"/>
    <n v="456424"/>
    <x v="15"/>
  </r>
  <r>
    <x v="16"/>
    <x v="16"/>
    <x v="3"/>
    <s v="Apple"/>
    <x v="3"/>
    <x v="5"/>
    <x v="6"/>
    <x v="0"/>
    <x v="0"/>
    <s v="48MP"/>
    <x v="3"/>
    <x v="3"/>
    <s v="Refurbished"/>
    <n v="234292"/>
    <n v="301264"/>
    <x v="16"/>
  </r>
  <r>
    <x v="17"/>
    <x v="17"/>
    <x v="0"/>
    <s v="Apple"/>
    <x v="3"/>
    <x v="5"/>
    <x v="4"/>
    <x v="0"/>
    <x v="3"/>
    <s v="Dual 12MP"/>
    <x v="3"/>
    <x v="0"/>
    <s v="New"/>
    <n v="544912"/>
    <n v="768358"/>
    <x v="17"/>
  </r>
  <r>
    <x v="18"/>
    <x v="18"/>
    <x v="3"/>
    <s v="Apple"/>
    <x v="0"/>
    <x v="3"/>
    <x v="2"/>
    <x v="0"/>
    <x v="3"/>
    <s v="48MP"/>
    <x v="2"/>
    <x v="0"/>
    <s v="Refurbished"/>
    <n v="928076"/>
    <n v="1144227"/>
    <x v="18"/>
  </r>
  <r>
    <x v="19"/>
    <x v="19"/>
    <x v="2"/>
    <s v="Apple"/>
    <x v="3"/>
    <x v="5"/>
    <x v="2"/>
    <x v="3"/>
    <x v="2"/>
    <s v="Dual 12MP"/>
    <x v="2"/>
    <x v="2"/>
    <s v="New"/>
    <n v="704514"/>
    <n v="965913"/>
    <x v="19"/>
  </r>
  <r>
    <x v="20"/>
    <x v="20"/>
    <x v="3"/>
    <s v="Apple"/>
    <x v="3"/>
    <x v="3"/>
    <x v="1"/>
    <x v="3"/>
    <x v="0"/>
    <s v="12MP"/>
    <x v="4"/>
    <x v="1"/>
    <s v="Refurbished"/>
    <n v="109622"/>
    <n v="156945"/>
    <x v="20"/>
  </r>
  <r>
    <x v="21"/>
    <x v="21"/>
    <x v="0"/>
    <s v="Apple"/>
    <x v="4"/>
    <x v="2"/>
    <x v="6"/>
    <x v="0"/>
    <x v="4"/>
    <s v="Triple 12MP"/>
    <x v="2"/>
    <x v="3"/>
    <s v="Used"/>
    <n v="516282"/>
    <n v="748001"/>
    <x v="21"/>
  </r>
  <r>
    <x v="22"/>
    <x v="22"/>
    <x v="3"/>
    <s v="Apple"/>
    <x v="4"/>
    <x v="3"/>
    <x v="5"/>
    <x v="3"/>
    <x v="1"/>
    <s v="12MP"/>
    <x v="4"/>
    <x v="0"/>
    <s v="New"/>
    <n v="164772"/>
    <n v="207199"/>
    <x v="22"/>
  </r>
  <r>
    <x v="23"/>
    <x v="23"/>
    <x v="1"/>
    <s v="Apple"/>
    <x v="4"/>
    <x v="0"/>
    <x v="3"/>
    <x v="3"/>
    <x v="1"/>
    <s v="12MP"/>
    <x v="3"/>
    <x v="1"/>
    <s v="Refurbished"/>
    <n v="634798"/>
    <n v="727257"/>
    <x v="23"/>
  </r>
  <r>
    <x v="24"/>
    <x v="24"/>
    <x v="4"/>
    <s v="Apple"/>
    <x v="0"/>
    <x v="0"/>
    <x v="0"/>
    <x v="1"/>
    <x v="1"/>
    <s v="Dual 12MP"/>
    <x v="1"/>
    <x v="0"/>
    <s v="New"/>
    <n v="460538"/>
    <n v="604937"/>
    <x v="24"/>
  </r>
  <r>
    <x v="25"/>
    <x v="25"/>
    <x v="2"/>
    <s v="Apple"/>
    <x v="2"/>
    <x v="1"/>
    <x v="3"/>
    <x v="2"/>
    <x v="2"/>
    <s v="Dual 12MP"/>
    <x v="1"/>
    <x v="2"/>
    <s v="New"/>
    <n v="873651"/>
    <n v="1103645"/>
    <x v="25"/>
  </r>
  <r>
    <x v="26"/>
    <x v="26"/>
    <x v="1"/>
    <s v="Apple"/>
    <x v="2"/>
    <x v="4"/>
    <x v="2"/>
    <x v="2"/>
    <x v="3"/>
    <s v="12MP"/>
    <x v="2"/>
    <x v="0"/>
    <s v="Used"/>
    <n v="533585"/>
    <n v="677226"/>
    <x v="26"/>
  </r>
  <r>
    <x v="27"/>
    <x v="27"/>
    <x v="3"/>
    <s v="Apple"/>
    <x v="3"/>
    <x v="2"/>
    <x v="5"/>
    <x v="0"/>
    <x v="1"/>
    <s v="Triple 12MP"/>
    <x v="1"/>
    <x v="3"/>
    <s v="Refurbished"/>
    <n v="405198"/>
    <n v="515754"/>
    <x v="27"/>
  </r>
  <r>
    <x v="28"/>
    <x v="28"/>
    <x v="3"/>
    <s v="Apple"/>
    <x v="2"/>
    <x v="0"/>
    <x v="5"/>
    <x v="0"/>
    <x v="3"/>
    <s v="Dual 12MP"/>
    <x v="4"/>
    <x v="2"/>
    <s v="New"/>
    <n v="373161"/>
    <n v="592872"/>
    <x v="28"/>
  </r>
  <r>
    <x v="29"/>
    <x v="29"/>
    <x v="2"/>
    <s v="Apple"/>
    <x v="1"/>
    <x v="5"/>
    <x v="4"/>
    <x v="0"/>
    <x v="3"/>
    <s v="48MP"/>
    <x v="1"/>
    <x v="0"/>
    <s v="New"/>
    <n v="853699"/>
    <n v="1073899"/>
    <x v="29"/>
  </r>
  <r>
    <x v="30"/>
    <x v="30"/>
    <x v="1"/>
    <s v="Apple"/>
    <x v="0"/>
    <x v="4"/>
    <x v="0"/>
    <x v="2"/>
    <x v="3"/>
    <s v="Triple 12MP"/>
    <x v="0"/>
    <x v="3"/>
    <s v="Used"/>
    <n v="381459"/>
    <n v="581296"/>
    <x v="30"/>
  </r>
  <r>
    <x v="31"/>
    <x v="31"/>
    <x v="0"/>
    <s v="Apple"/>
    <x v="4"/>
    <x v="0"/>
    <x v="4"/>
    <x v="3"/>
    <x v="3"/>
    <s v="Triple 12MP"/>
    <x v="1"/>
    <x v="1"/>
    <s v="New"/>
    <n v="253120"/>
    <n v="370985"/>
    <x v="31"/>
  </r>
  <r>
    <x v="32"/>
    <x v="32"/>
    <x v="0"/>
    <s v="Apple"/>
    <x v="3"/>
    <x v="0"/>
    <x v="0"/>
    <x v="3"/>
    <x v="0"/>
    <s v="48MP"/>
    <x v="2"/>
    <x v="3"/>
    <s v="Used"/>
    <n v="623457"/>
    <n v="852767"/>
    <x v="32"/>
  </r>
  <r>
    <x v="33"/>
    <x v="33"/>
    <x v="4"/>
    <s v="Apple"/>
    <x v="3"/>
    <x v="5"/>
    <x v="1"/>
    <x v="2"/>
    <x v="3"/>
    <s v="48MP"/>
    <x v="1"/>
    <x v="3"/>
    <s v="Used"/>
    <n v="328629"/>
    <n v="480930"/>
    <x v="33"/>
  </r>
  <r>
    <x v="34"/>
    <x v="34"/>
    <x v="2"/>
    <s v="Apple"/>
    <x v="3"/>
    <x v="0"/>
    <x v="6"/>
    <x v="3"/>
    <x v="2"/>
    <s v="Dual 12MP"/>
    <x v="2"/>
    <x v="1"/>
    <s v="Refurbished"/>
    <n v="160010"/>
    <n v="202079"/>
    <x v="34"/>
  </r>
  <r>
    <x v="35"/>
    <x v="35"/>
    <x v="2"/>
    <s v="Apple"/>
    <x v="2"/>
    <x v="2"/>
    <x v="2"/>
    <x v="1"/>
    <x v="0"/>
    <s v="Triple 12MP"/>
    <x v="1"/>
    <x v="2"/>
    <s v="New"/>
    <n v="588124"/>
    <n v="933341"/>
    <x v="35"/>
  </r>
  <r>
    <x v="36"/>
    <x v="36"/>
    <x v="2"/>
    <s v="Apple"/>
    <x v="0"/>
    <x v="4"/>
    <x v="4"/>
    <x v="0"/>
    <x v="4"/>
    <s v="12MP"/>
    <x v="1"/>
    <x v="1"/>
    <s v="Used"/>
    <n v="191454"/>
    <n v="226558"/>
    <x v="36"/>
  </r>
  <r>
    <x v="37"/>
    <x v="37"/>
    <x v="4"/>
    <s v="Apple"/>
    <x v="3"/>
    <x v="1"/>
    <x v="0"/>
    <x v="2"/>
    <x v="1"/>
    <s v="Dual 12MP"/>
    <x v="2"/>
    <x v="0"/>
    <s v="Used"/>
    <n v="717771"/>
    <n v="948694"/>
    <x v="37"/>
  </r>
  <r>
    <x v="38"/>
    <x v="38"/>
    <x v="4"/>
    <s v="Apple"/>
    <x v="3"/>
    <x v="3"/>
    <x v="1"/>
    <x v="0"/>
    <x v="1"/>
    <s v="Dual 12MP"/>
    <x v="1"/>
    <x v="3"/>
    <s v="New"/>
    <n v="405194"/>
    <n v="537691"/>
    <x v="38"/>
  </r>
  <r>
    <x v="39"/>
    <x v="39"/>
    <x v="2"/>
    <s v="Apple"/>
    <x v="0"/>
    <x v="3"/>
    <x v="5"/>
    <x v="3"/>
    <x v="1"/>
    <s v="12MP"/>
    <x v="1"/>
    <x v="1"/>
    <s v="Used"/>
    <n v="705192"/>
    <n v="830816"/>
    <x v="39"/>
  </r>
  <r>
    <x v="40"/>
    <x v="40"/>
    <x v="3"/>
    <s v="Apple"/>
    <x v="0"/>
    <x v="0"/>
    <x v="3"/>
    <x v="3"/>
    <x v="0"/>
    <s v="12MP"/>
    <x v="4"/>
    <x v="1"/>
    <s v="Used"/>
    <n v="580050"/>
    <n v="732138"/>
    <x v="40"/>
  </r>
  <r>
    <x v="41"/>
    <x v="41"/>
    <x v="1"/>
    <s v="Apple"/>
    <x v="4"/>
    <x v="3"/>
    <x v="3"/>
    <x v="1"/>
    <x v="1"/>
    <s v="48MP"/>
    <x v="0"/>
    <x v="1"/>
    <s v="Used"/>
    <n v="952899"/>
    <n v="1061729"/>
    <x v="41"/>
  </r>
  <r>
    <x v="42"/>
    <x v="42"/>
    <x v="2"/>
    <s v="Apple"/>
    <x v="1"/>
    <x v="1"/>
    <x v="5"/>
    <x v="1"/>
    <x v="1"/>
    <s v="12MP"/>
    <x v="4"/>
    <x v="3"/>
    <s v="Refurbished"/>
    <n v="983830"/>
    <n v="1171825"/>
    <x v="42"/>
  </r>
  <r>
    <x v="43"/>
    <x v="43"/>
    <x v="2"/>
    <s v="Apple"/>
    <x v="0"/>
    <x v="4"/>
    <x v="2"/>
    <x v="2"/>
    <x v="1"/>
    <s v="Dual 12MP"/>
    <x v="0"/>
    <x v="0"/>
    <s v="Refurbished"/>
    <n v="257008"/>
    <n v="302747"/>
    <x v="43"/>
  </r>
  <r>
    <x v="44"/>
    <x v="44"/>
    <x v="1"/>
    <s v="Apple"/>
    <x v="1"/>
    <x v="0"/>
    <x v="0"/>
    <x v="3"/>
    <x v="4"/>
    <s v="Triple 12MP"/>
    <x v="1"/>
    <x v="3"/>
    <s v="New"/>
    <n v="388519"/>
    <n v="637737"/>
    <x v="44"/>
  </r>
  <r>
    <x v="45"/>
    <x v="45"/>
    <x v="3"/>
    <s v="Apple"/>
    <x v="2"/>
    <x v="1"/>
    <x v="6"/>
    <x v="3"/>
    <x v="1"/>
    <s v="12MP"/>
    <x v="3"/>
    <x v="3"/>
    <s v="Refurbished"/>
    <n v="189832"/>
    <n v="288918"/>
    <x v="45"/>
  </r>
  <r>
    <x v="46"/>
    <x v="46"/>
    <x v="4"/>
    <s v="Apple"/>
    <x v="3"/>
    <x v="2"/>
    <x v="2"/>
    <x v="2"/>
    <x v="1"/>
    <s v="Dual 12MP"/>
    <x v="0"/>
    <x v="2"/>
    <s v="New"/>
    <n v="573493"/>
    <n v="875265"/>
    <x v="46"/>
  </r>
  <r>
    <x v="47"/>
    <x v="47"/>
    <x v="0"/>
    <s v="Apple"/>
    <x v="4"/>
    <x v="2"/>
    <x v="0"/>
    <x v="1"/>
    <x v="1"/>
    <s v="Dual 12MP"/>
    <x v="3"/>
    <x v="0"/>
    <s v="Used"/>
    <n v="308209"/>
    <n v="469470"/>
    <x v="47"/>
  </r>
  <r>
    <x v="48"/>
    <x v="48"/>
    <x v="1"/>
    <s v="Apple"/>
    <x v="3"/>
    <x v="2"/>
    <x v="6"/>
    <x v="1"/>
    <x v="1"/>
    <s v="12MP"/>
    <x v="2"/>
    <x v="1"/>
    <s v="New"/>
    <n v="417740"/>
    <n v="466020"/>
    <x v="48"/>
  </r>
  <r>
    <x v="49"/>
    <x v="49"/>
    <x v="4"/>
    <s v="Apple"/>
    <x v="3"/>
    <x v="4"/>
    <x v="2"/>
    <x v="1"/>
    <x v="1"/>
    <s v="Triple 12MP"/>
    <x v="2"/>
    <x v="1"/>
    <s v="Used"/>
    <n v="423994"/>
    <n v="629765"/>
    <x v="49"/>
  </r>
  <r>
    <x v="50"/>
    <x v="50"/>
    <x v="0"/>
    <s v="Apple"/>
    <x v="3"/>
    <x v="2"/>
    <x v="3"/>
    <x v="0"/>
    <x v="3"/>
    <s v="Dual 12MP"/>
    <x v="0"/>
    <x v="1"/>
    <s v="Used"/>
    <n v="153547"/>
    <n v="174842"/>
    <x v="50"/>
  </r>
  <r>
    <x v="51"/>
    <x v="51"/>
    <x v="4"/>
    <s v="Apple"/>
    <x v="1"/>
    <x v="0"/>
    <x v="5"/>
    <x v="1"/>
    <x v="2"/>
    <s v="Triple 12MP"/>
    <x v="3"/>
    <x v="3"/>
    <s v="Refurbished"/>
    <n v="483184"/>
    <n v="761616"/>
    <x v="51"/>
  </r>
  <r>
    <x v="52"/>
    <x v="52"/>
    <x v="4"/>
    <s v="Apple"/>
    <x v="0"/>
    <x v="2"/>
    <x v="4"/>
    <x v="2"/>
    <x v="4"/>
    <s v="48MP"/>
    <x v="4"/>
    <x v="1"/>
    <s v="New"/>
    <n v="470022"/>
    <n v="546729"/>
    <x v="52"/>
  </r>
  <r>
    <x v="53"/>
    <x v="53"/>
    <x v="2"/>
    <s v="Apple"/>
    <x v="0"/>
    <x v="5"/>
    <x v="0"/>
    <x v="0"/>
    <x v="4"/>
    <s v="48MP"/>
    <x v="1"/>
    <x v="3"/>
    <s v="New"/>
    <n v="824454"/>
    <n v="1173922"/>
    <x v="53"/>
  </r>
  <r>
    <x v="54"/>
    <x v="54"/>
    <x v="0"/>
    <s v="Apple"/>
    <x v="0"/>
    <x v="1"/>
    <x v="1"/>
    <x v="2"/>
    <x v="2"/>
    <s v="12MP"/>
    <x v="0"/>
    <x v="0"/>
    <s v="Refurbished"/>
    <n v="395186"/>
    <n v="469143"/>
    <x v="54"/>
  </r>
  <r>
    <x v="55"/>
    <x v="55"/>
    <x v="3"/>
    <s v="Apple"/>
    <x v="0"/>
    <x v="4"/>
    <x v="1"/>
    <x v="2"/>
    <x v="1"/>
    <s v="Triple 12MP"/>
    <x v="3"/>
    <x v="3"/>
    <s v="Refurbished"/>
    <n v="747846"/>
    <n v="873450"/>
    <x v="55"/>
  </r>
  <r>
    <x v="56"/>
    <x v="56"/>
    <x v="1"/>
    <s v="Apple"/>
    <x v="2"/>
    <x v="3"/>
    <x v="1"/>
    <x v="1"/>
    <x v="4"/>
    <s v="48MP"/>
    <x v="3"/>
    <x v="3"/>
    <s v="Refurbished"/>
    <n v="541063"/>
    <n v="659936"/>
    <x v="56"/>
  </r>
  <r>
    <x v="57"/>
    <x v="57"/>
    <x v="2"/>
    <s v="Apple"/>
    <x v="3"/>
    <x v="1"/>
    <x v="2"/>
    <x v="0"/>
    <x v="2"/>
    <s v="Dual 12MP"/>
    <x v="0"/>
    <x v="2"/>
    <s v="Used"/>
    <n v="766361"/>
    <n v="865440"/>
    <x v="57"/>
  </r>
  <r>
    <x v="58"/>
    <x v="58"/>
    <x v="0"/>
    <s v="Apple"/>
    <x v="2"/>
    <x v="1"/>
    <x v="6"/>
    <x v="2"/>
    <x v="0"/>
    <s v="Dual 12MP"/>
    <x v="1"/>
    <x v="0"/>
    <s v="New"/>
    <n v="211920"/>
    <n v="289714"/>
    <x v="58"/>
  </r>
  <r>
    <x v="59"/>
    <x v="59"/>
    <x v="4"/>
    <s v="Apple"/>
    <x v="0"/>
    <x v="3"/>
    <x v="6"/>
    <x v="2"/>
    <x v="0"/>
    <s v="12MP"/>
    <x v="0"/>
    <x v="2"/>
    <s v="Used"/>
    <n v="794056"/>
    <n v="1128078"/>
    <x v="59"/>
  </r>
  <r>
    <x v="60"/>
    <x v="60"/>
    <x v="0"/>
    <s v="Apple"/>
    <x v="0"/>
    <x v="0"/>
    <x v="6"/>
    <x v="2"/>
    <x v="0"/>
    <s v="48MP"/>
    <x v="1"/>
    <x v="0"/>
    <s v="New"/>
    <n v="623680"/>
    <n v="882805"/>
    <x v="60"/>
  </r>
  <r>
    <x v="61"/>
    <x v="61"/>
    <x v="1"/>
    <s v="Apple"/>
    <x v="4"/>
    <x v="0"/>
    <x v="1"/>
    <x v="1"/>
    <x v="4"/>
    <s v="12MP"/>
    <x v="2"/>
    <x v="1"/>
    <s v="New"/>
    <n v="360972"/>
    <n v="440428"/>
    <x v="61"/>
  </r>
  <r>
    <x v="62"/>
    <x v="62"/>
    <x v="4"/>
    <s v="Apple"/>
    <x v="3"/>
    <x v="5"/>
    <x v="6"/>
    <x v="2"/>
    <x v="0"/>
    <s v="Triple 12MP"/>
    <x v="4"/>
    <x v="2"/>
    <s v="New"/>
    <n v="326130"/>
    <n v="405613"/>
    <x v="62"/>
  </r>
  <r>
    <x v="63"/>
    <x v="63"/>
    <x v="2"/>
    <s v="Apple"/>
    <x v="3"/>
    <x v="3"/>
    <x v="1"/>
    <x v="2"/>
    <x v="2"/>
    <s v="12MP"/>
    <x v="3"/>
    <x v="1"/>
    <s v="Used"/>
    <n v="431625"/>
    <n v="689705"/>
    <x v="63"/>
  </r>
  <r>
    <x v="64"/>
    <x v="64"/>
    <x v="1"/>
    <s v="Apple"/>
    <x v="2"/>
    <x v="5"/>
    <x v="6"/>
    <x v="3"/>
    <x v="1"/>
    <s v="48MP"/>
    <x v="2"/>
    <x v="1"/>
    <s v="Used"/>
    <n v="172899"/>
    <n v="277517"/>
    <x v="64"/>
  </r>
  <r>
    <x v="65"/>
    <x v="65"/>
    <x v="2"/>
    <s v="Apple"/>
    <x v="3"/>
    <x v="1"/>
    <x v="1"/>
    <x v="1"/>
    <x v="1"/>
    <s v="Dual 12MP"/>
    <x v="4"/>
    <x v="1"/>
    <s v="Refurbished"/>
    <n v="727012"/>
    <n v="1066766"/>
    <x v="65"/>
  </r>
  <r>
    <x v="66"/>
    <x v="66"/>
    <x v="0"/>
    <s v="Apple"/>
    <x v="4"/>
    <x v="0"/>
    <x v="0"/>
    <x v="3"/>
    <x v="0"/>
    <s v="Dual 12MP"/>
    <x v="1"/>
    <x v="2"/>
    <s v="New"/>
    <n v="210255"/>
    <n v="243975"/>
    <x v="66"/>
  </r>
  <r>
    <x v="67"/>
    <x v="67"/>
    <x v="0"/>
    <s v="Apple"/>
    <x v="1"/>
    <x v="5"/>
    <x v="4"/>
    <x v="3"/>
    <x v="2"/>
    <s v="Triple 12MP"/>
    <x v="2"/>
    <x v="3"/>
    <s v="New"/>
    <n v="341681"/>
    <n v="441395"/>
    <x v="67"/>
  </r>
  <r>
    <x v="68"/>
    <x v="68"/>
    <x v="0"/>
    <s v="Apple"/>
    <x v="3"/>
    <x v="3"/>
    <x v="6"/>
    <x v="3"/>
    <x v="0"/>
    <s v="Triple 12MP"/>
    <x v="2"/>
    <x v="2"/>
    <s v="New"/>
    <n v="718223"/>
    <n v="1196727"/>
    <x v="68"/>
  </r>
  <r>
    <x v="69"/>
    <x v="69"/>
    <x v="3"/>
    <s v="Apple"/>
    <x v="0"/>
    <x v="1"/>
    <x v="1"/>
    <x v="3"/>
    <x v="3"/>
    <s v="48MP"/>
    <x v="0"/>
    <x v="2"/>
    <s v="Refurbished"/>
    <n v="317633"/>
    <n v="512217"/>
    <x v="69"/>
  </r>
  <r>
    <x v="70"/>
    <x v="70"/>
    <x v="1"/>
    <s v="Apple"/>
    <x v="2"/>
    <x v="0"/>
    <x v="5"/>
    <x v="3"/>
    <x v="3"/>
    <s v="48MP"/>
    <x v="1"/>
    <x v="2"/>
    <s v="Refurbished"/>
    <n v="187475"/>
    <n v="228443"/>
    <x v="70"/>
  </r>
  <r>
    <x v="71"/>
    <x v="71"/>
    <x v="0"/>
    <s v="Apple"/>
    <x v="4"/>
    <x v="2"/>
    <x v="2"/>
    <x v="1"/>
    <x v="1"/>
    <s v="Dual 12MP"/>
    <x v="2"/>
    <x v="1"/>
    <s v="New"/>
    <n v="185928"/>
    <n v="241525"/>
    <x v="71"/>
  </r>
  <r>
    <x v="72"/>
    <x v="72"/>
    <x v="3"/>
    <s v="Apple"/>
    <x v="3"/>
    <x v="2"/>
    <x v="3"/>
    <x v="1"/>
    <x v="3"/>
    <s v="12MP"/>
    <x v="4"/>
    <x v="2"/>
    <s v="Refurbished"/>
    <n v="577440"/>
    <n v="859904"/>
    <x v="72"/>
  </r>
  <r>
    <x v="73"/>
    <x v="73"/>
    <x v="0"/>
    <s v="Apple"/>
    <x v="3"/>
    <x v="0"/>
    <x v="2"/>
    <x v="1"/>
    <x v="3"/>
    <s v="Triple 12MP"/>
    <x v="1"/>
    <x v="1"/>
    <s v="New"/>
    <n v="662591"/>
    <n v="799497"/>
    <x v="73"/>
  </r>
  <r>
    <x v="74"/>
    <x v="74"/>
    <x v="3"/>
    <s v="Apple"/>
    <x v="1"/>
    <x v="5"/>
    <x v="2"/>
    <x v="1"/>
    <x v="4"/>
    <s v="48MP"/>
    <x v="2"/>
    <x v="2"/>
    <s v="Refurbished"/>
    <n v="685979"/>
    <n v="844335"/>
    <x v="74"/>
  </r>
  <r>
    <x v="75"/>
    <x v="75"/>
    <x v="4"/>
    <s v="Apple"/>
    <x v="0"/>
    <x v="0"/>
    <x v="2"/>
    <x v="3"/>
    <x v="3"/>
    <s v="12MP"/>
    <x v="2"/>
    <x v="1"/>
    <s v="Used"/>
    <n v="515255"/>
    <n v="745528"/>
    <x v="75"/>
  </r>
  <r>
    <x v="76"/>
    <x v="76"/>
    <x v="0"/>
    <s v="Apple"/>
    <x v="4"/>
    <x v="4"/>
    <x v="6"/>
    <x v="0"/>
    <x v="2"/>
    <s v="12MP"/>
    <x v="0"/>
    <x v="3"/>
    <s v="New"/>
    <n v="118438"/>
    <n v="190357"/>
    <x v="76"/>
  </r>
  <r>
    <x v="77"/>
    <x v="77"/>
    <x v="1"/>
    <s v="Apple"/>
    <x v="4"/>
    <x v="5"/>
    <x v="3"/>
    <x v="1"/>
    <x v="1"/>
    <s v="12MP"/>
    <x v="3"/>
    <x v="1"/>
    <s v="New"/>
    <n v="526435"/>
    <n v="799434"/>
    <x v="77"/>
  </r>
  <r>
    <x v="78"/>
    <x v="78"/>
    <x v="0"/>
    <s v="Apple"/>
    <x v="4"/>
    <x v="3"/>
    <x v="6"/>
    <x v="0"/>
    <x v="2"/>
    <s v="Triple 12MP"/>
    <x v="1"/>
    <x v="3"/>
    <s v="New"/>
    <n v="570156"/>
    <n v="932040"/>
    <x v="78"/>
  </r>
  <r>
    <x v="79"/>
    <x v="79"/>
    <x v="2"/>
    <s v="Apple"/>
    <x v="3"/>
    <x v="4"/>
    <x v="3"/>
    <x v="1"/>
    <x v="0"/>
    <s v="Triple 12MP"/>
    <x v="4"/>
    <x v="1"/>
    <s v="Used"/>
    <n v="658682"/>
    <n v="880577"/>
    <x v="79"/>
  </r>
  <r>
    <x v="80"/>
    <x v="80"/>
    <x v="3"/>
    <s v="Apple"/>
    <x v="3"/>
    <x v="1"/>
    <x v="3"/>
    <x v="1"/>
    <x v="4"/>
    <s v="Triple 12MP"/>
    <x v="0"/>
    <x v="3"/>
    <s v="Used"/>
    <n v="772562"/>
    <n v="899428"/>
    <x v="80"/>
  </r>
  <r>
    <x v="81"/>
    <x v="81"/>
    <x v="1"/>
    <s v="Apple"/>
    <x v="0"/>
    <x v="5"/>
    <x v="4"/>
    <x v="1"/>
    <x v="1"/>
    <s v="Dual 12MP"/>
    <x v="1"/>
    <x v="1"/>
    <s v="Refurbished"/>
    <n v="743325"/>
    <n v="861426"/>
    <x v="81"/>
  </r>
  <r>
    <x v="82"/>
    <x v="82"/>
    <x v="0"/>
    <s v="Apple"/>
    <x v="1"/>
    <x v="0"/>
    <x v="2"/>
    <x v="1"/>
    <x v="2"/>
    <s v="Dual 12MP"/>
    <x v="3"/>
    <x v="0"/>
    <s v="Used"/>
    <n v="424761"/>
    <n v="528545"/>
    <x v="82"/>
  </r>
  <r>
    <x v="83"/>
    <x v="83"/>
    <x v="2"/>
    <s v="Apple"/>
    <x v="0"/>
    <x v="2"/>
    <x v="2"/>
    <x v="2"/>
    <x v="1"/>
    <s v="Dual 12MP"/>
    <x v="1"/>
    <x v="0"/>
    <s v="New"/>
    <n v="434894"/>
    <n v="598420"/>
    <x v="83"/>
  </r>
  <r>
    <x v="84"/>
    <x v="84"/>
    <x v="4"/>
    <s v="Apple"/>
    <x v="4"/>
    <x v="5"/>
    <x v="0"/>
    <x v="2"/>
    <x v="2"/>
    <s v="48MP"/>
    <x v="2"/>
    <x v="1"/>
    <s v="New"/>
    <n v="1012204"/>
    <n v="1197969"/>
    <x v="84"/>
  </r>
  <r>
    <x v="85"/>
    <x v="85"/>
    <x v="3"/>
    <s v="Apple"/>
    <x v="0"/>
    <x v="2"/>
    <x v="5"/>
    <x v="1"/>
    <x v="0"/>
    <s v="Triple 12MP"/>
    <x v="2"/>
    <x v="2"/>
    <s v="New"/>
    <n v="873093"/>
    <n v="1078022"/>
    <x v="85"/>
  </r>
  <r>
    <x v="86"/>
    <x v="86"/>
    <x v="2"/>
    <s v="Apple"/>
    <x v="4"/>
    <x v="3"/>
    <x v="2"/>
    <x v="1"/>
    <x v="1"/>
    <s v="48MP"/>
    <x v="4"/>
    <x v="3"/>
    <s v="Used"/>
    <n v="404197"/>
    <n v="525074"/>
    <x v="86"/>
  </r>
  <r>
    <x v="87"/>
    <x v="87"/>
    <x v="1"/>
    <s v="Apple"/>
    <x v="1"/>
    <x v="2"/>
    <x v="0"/>
    <x v="3"/>
    <x v="2"/>
    <s v="Triple 12MP"/>
    <x v="0"/>
    <x v="2"/>
    <s v="New"/>
    <n v="656629"/>
    <n v="824072"/>
    <x v="87"/>
  </r>
  <r>
    <x v="88"/>
    <x v="88"/>
    <x v="3"/>
    <s v="Apple"/>
    <x v="4"/>
    <x v="5"/>
    <x v="4"/>
    <x v="1"/>
    <x v="4"/>
    <s v="12MP"/>
    <x v="1"/>
    <x v="3"/>
    <s v="New"/>
    <n v="645239"/>
    <n v="998177"/>
    <x v="88"/>
  </r>
  <r>
    <x v="89"/>
    <x v="89"/>
    <x v="0"/>
    <s v="Apple"/>
    <x v="3"/>
    <x v="0"/>
    <x v="2"/>
    <x v="2"/>
    <x v="1"/>
    <s v="Dual 12MP"/>
    <x v="4"/>
    <x v="0"/>
    <s v="Refurbished"/>
    <n v="423407"/>
    <n v="618401"/>
    <x v="89"/>
  </r>
  <r>
    <x v="90"/>
    <x v="90"/>
    <x v="2"/>
    <s v="Apple"/>
    <x v="4"/>
    <x v="5"/>
    <x v="0"/>
    <x v="3"/>
    <x v="3"/>
    <s v="48MP"/>
    <x v="3"/>
    <x v="0"/>
    <s v="Used"/>
    <n v="628055"/>
    <n v="869637"/>
    <x v="90"/>
  </r>
  <r>
    <x v="91"/>
    <x v="91"/>
    <x v="2"/>
    <s v="Apple"/>
    <x v="1"/>
    <x v="5"/>
    <x v="5"/>
    <x v="3"/>
    <x v="4"/>
    <s v="12MP"/>
    <x v="4"/>
    <x v="0"/>
    <s v="Refurbished"/>
    <n v="1008863"/>
    <n v="1166444"/>
    <x v="91"/>
  </r>
  <r>
    <x v="92"/>
    <x v="92"/>
    <x v="3"/>
    <s v="Apple"/>
    <x v="3"/>
    <x v="1"/>
    <x v="2"/>
    <x v="3"/>
    <x v="3"/>
    <s v="Triple 12MP"/>
    <x v="1"/>
    <x v="3"/>
    <s v="New"/>
    <n v="164634"/>
    <n v="196626"/>
    <x v="92"/>
  </r>
  <r>
    <x v="93"/>
    <x v="93"/>
    <x v="4"/>
    <s v="Apple"/>
    <x v="1"/>
    <x v="4"/>
    <x v="6"/>
    <x v="3"/>
    <x v="1"/>
    <s v="Triple 12MP"/>
    <x v="1"/>
    <x v="0"/>
    <s v="Used"/>
    <n v="387922"/>
    <n v="456282"/>
    <x v="93"/>
  </r>
  <r>
    <x v="94"/>
    <x v="94"/>
    <x v="4"/>
    <s v="Apple"/>
    <x v="3"/>
    <x v="4"/>
    <x v="6"/>
    <x v="2"/>
    <x v="1"/>
    <s v="Dual 12MP"/>
    <x v="3"/>
    <x v="3"/>
    <s v="Refurbished"/>
    <n v="582773"/>
    <n v="942119"/>
    <x v="94"/>
  </r>
  <r>
    <x v="95"/>
    <x v="95"/>
    <x v="2"/>
    <s v="Apple"/>
    <x v="4"/>
    <x v="0"/>
    <x v="4"/>
    <x v="3"/>
    <x v="2"/>
    <s v="12MP"/>
    <x v="3"/>
    <x v="2"/>
    <s v="New"/>
    <n v="739466"/>
    <n v="832364"/>
    <x v="95"/>
  </r>
  <r>
    <x v="96"/>
    <x v="96"/>
    <x v="1"/>
    <s v="Apple"/>
    <x v="2"/>
    <x v="5"/>
    <x v="1"/>
    <x v="1"/>
    <x v="4"/>
    <s v="Dual 12MP"/>
    <x v="0"/>
    <x v="1"/>
    <s v="Used"/>
    <n v="673007"/>
    <n v="1110771"/>
    <x v="96"/>
  </r>
  <r>
    <x v="97"/>
    <x v="97"/>
    <x v="0"/>
    <s v="Apple"/>
    <x v="4"/>
    <x v="4"/>
    <x v="3"/>
    <x v="2"/>
    <x v="0"/>
    <s v="12MP"/>
    <x v="2"/>
    <x v="1"/>
    <s v="New"/>
    <n v="608928"/>
    <n v="826805"/>
    <x v="97"/>
  </r>
  <r>
    <x v="98"/>
    <x v="98"/>
    <x v="2"/>
    <s v="Apple"/>
    <x v="3"/>
    <x v="4"/>
    <x v="0"/>
    <x v="0"/>
    <x v="3"/>
    <s v="Dual 12MP"/>
    <x v="4"/>
    <x v="1"/>
    <s v="New"/>
    <n v="365493"/>
    <n v="534409"/>
    <x v="98"/>
  </r>
  <r>
    <x v="99"/>
    <x v="99"/>
    <x v="2"/>
    <s v="Apple"/>
    <x v="1"/>
    <x v="4"/>
    <x v="2"/>
    <x v="0"/>
    <x v="1"/>
    <s v="Dual 12MP"/>
    <x v="3"/>
    <x v="0"/>
    <s v="Refurbished"/>
    <n v="720651"/>
    <n v="909010"/>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7:G33" firstHeaderRow="0" firstDataRow="1" firstDataCol="1"/>
  <pivotFields count="18">
    <pivotField showAll="0"/>
    <pivotField showAll="0"/>
    <pivotField showAll="0">
      <items count="6">
        <item x="0"/>
        <item x="3"/>
        <item x="4"/>
        <item x="2"/>
        <item x="1"/>
        <item t="default"/>
      </items>
    </pivotField>
    <pivotField showAll="0"/>
    <pivotField dataField="1" showAll="0" sortType="descending">
      <items count="6">
        <item x="0"/>
        <item x="1"/>
        <item x="3"/>
        <item x="4"/>
        <item x="2"/>
        <item t="default"/>
      </items>
    </pivotField>
    <pivotField showAll="0"/>
    <pivotField showAll="0"/>
    <pivotField showAll="0"/>
    <pivotField axis="axisRow" showAll="0">
      <items count="6">
        <item x="4"/>
        <item x="1"/>
        <item x="3"/>
        <item x="0"/>
        <item x="2"/>
        <item t="default"/>
      </items>
    </pivotField>
    <pivotField showAll="0"/>
    <pivotField numFmtId="9"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2">
    <i>
      <x/>
    </i>
    <i i="1">
      <x v="1"/>
    </i>
  </colItems>
  <dataFields count="2">
    <dataField name="Count of Model" fld="4" subtotal="count" baseField="0" baseItem="0"/>
    <dataField name="Sum of Price Sold" fld="14" baseField="0" baseItem="0" numFmtId="164"/>
  </dataFields>
  <formats count="1">
    <format dxfId="0">
      <pivotArea outline="0" collapsedLevelsAreSubtotals="1" fieldPosition="0">
        <references count="1">
          <reference field="4294967294" count="1" selected="0">
            <x v="1"/>
          </reference>
        </references>
      </pivotArea>
    </format>
  </formats>
  <chartFormats count="2">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17:F23" firstHeaderRow="1" firstDataRow="1" firstDataCol="1"/>
  <pivotFields count="18">
    <pivotField showAll="0"/>
    <pivotField showAll="0"/>
    <pivotField axis="axisRow" showAll="0">
      <items count="6">
        <item x="0"/>
        <item x="3"/>
        <item x="4"/>
        <item x="2"/>
        <item x="1"/>
        <item t="default"/>
      </items>
    </pivotField>
    <pivotField showAll="0"/>
    <pivotField showAll="0" sortType="descending">
      <items count="6">
        <item x="0"/>
        <item x="1"/>
        <item x="3"/>
        <item x="4"/>
        <item x="2"/>
        <item t="default"/>
      </items>
    </pivotField>
    <pivotField showAll="0"/>
    <pivotField showAll="0"/>
    <pivotField showAll="0"/>
    <pivotField showAll="0"/>
    <pivotField showAll="0"/>
    <pivotField numFmtId="9"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Average of Price Sold" fld="14" subtotal="average" baseField="2" baseItem="0" numFmtId="164"/>
  </dataFields>
  <formats count="5">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6:F12" firstHeaderRow="1" firstDataRow="1" firstDataCol="1"/>
  <pivotFields count="18">
    <pivotField showAll="0"/>
    <pivotField dataField="1" showAll="0"/>
    <pivotField showAll="0">
      <items count="6">
        <item x="0"/>
        <item x="3"/>
        <item x="4"/>
        <item x="2"/>
        <item x="1"/>
        <item t="default"/>
      </items>
    </pivotField>
    <pivotField showAll="0"/>
    <pivotField axis="axisRow" showAll="0" sortType="descending">
      <items count="6">
        <item x="0"/>
        <item x="1"/>
        <item x="3"/>
        <item x="4"/>
        <item x="2"/>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Amount" fld="1" baseField="0" baseItem="0" numFmtId="164"/>
  </dataFields>
  <formats count="1">
    <format dxfId="6">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I16:J21" firstHeaderRow="1" firstDataRow="1" firstDataCol="1"/>
  <pivotFields count="18">
    <pivotField showAll="0"/>
    <pivotField showAll="0"/>
    <pivotField showAll="0">
      <items count="6">
        <item x="0"/>
        <item x="3"/>
        <item x="4"/>
        <item x="2"/>
        <item x="1"/>
        <item t="default"/>
      </items>
    </pivotField>
    <pivotField showAll="0"/>
    <pivotField showAll="0" sortType="descending">
      <items count="6">
        <item x="0"/>
        <item x="1"/>
        <item x="3"/>
        <item x="4"/>
        <item x="2"/>
        <item t="default"/>
      </items>
    </pivotField>
    <pivotField showAll="0"/>
    <pivotField showAll="0"/>
    <pivotField showAll="0"/>
    <pivotField showAll="0"/>
    <pivotField showAll="0"/>
    <pivotField dataField="1" numFmtId="9" showAll="0">
      <items count="6">
        <item x="3"/>
        <item x="2"/>
        <item x="0"/>
        <item x="1"/>
        <item x="4"/>
        <item t="default"/>
      </items>
    </pivotField>
    <pivotField axis="axisRow" showAll="0">
      <items count="5">
        <item x="2"/>
        <item x="1"/>
        <item x="0"/>
        <item x="3"/>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5">
    <i>
      <x/>
    </i>
    <i>
      <x v="1"/>
    </i>
    <i>
      <x v="2"/>
    </i>
    <i>
      <x v="3"/>
    </i>
    <i t="grand">
      <x/>
    </i>
  </rowItems>
  <colItems count="1">
    <i/>
  </colItems>
  <dataFields count="1">
    <dataField name="Average of Battery Life" fld="10" subtotal="average" baseField="11" baseItem="0" numFmtId="9"/>
  </dataFields>
  <chartFormats count="5">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1" count="1" selected="0">
            <x v="0"/>
          </reference>
        </references>
      </pivotArea>
    </chartFormat>
    <chartFormat chart="6" format="19">
      <pivotArea type="data" outline="0" fieldPosition="0">
        <references count="2">
          <reference field="4294967294" count="1" selected="0">
            <x v="0"/>
          </reference>
          <reference field="11" count="1" selected="0">
            <x v="1"/>
          </reference>
        </references>
      </pivotArea>
    </chartFormat>
    <chartFormat chart="6" format="20">
      <pivotArea type="data" outline="0" fieldPosition="0">
        <references count="2">
          <reference field="4294967294" count="1" selected="0">
            <x v="0"/>
          </reference>
          <reference field="11" count="1" selected="0">
            <x v="2"/>
          </reference>
        </references>
      </pivotArea>
    </chartFormat>
    <chartFormat chart="6" format="2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37:J44" firstHeaderRow="1" firstDataRow="1" firstDataCol="1"/>
  <pivotFields count="18">
    <pivotField showAll="0"/>
    <pivotField showAll="0"/>
    <pivotField showAll="0">
      <items count="6">
        <item x="0"/>
        <item x="3"/>
        <item x="4"/>
        <item x="2"/>
        <item x="1"/>
        <item t="default"/>
      </items>
    </pivotField>
    <pivotField showAll="0"/>
    <pivotField showAll="0" sortType="descending">
      <items count="6">
        <item x="0"/>
        <item x="1"/>
        <item x="3"/>
        <item x="4"/>
        <item x="2"/>
        <item t="default"/>
      </items>
    </pivotField>
    <pivotField axis="axisRow" showAll="0">
      <items count="7">
        <item x="4"/>
        <item x="2"/>
        <item x="1"/>
        <item x="3"/>
        <item x="5"/>
        <item x="0"/>
        <item t="default"/>
      </items>
    </pivotField>
    <pivotField showAll="0">
      <items count="8">
        <item x="1"/>
        <item x="4"/>
        <item x="6"/>
        <item x="5"/>
        <item x="0"/>
        <item x="2"/>
        <item x="3"/>
        <item t="default"/>
      </items>
    </pivotField>
    <pivotField showAll="0"/>
    <pivotField showAll="0"/>
    <pivotField showAll="0"/>
    <pivotField numFmtId="9" showAll="0">
      <items count="6">
        <item x="3"/>
        <item x="2"/>
        <item x="0"/>
        <item x="1"/>
        <item x="4"/>
        <item t="default"/>
      </items>
    </pivotField>
    <pivotField showAll="0">
      <items count="5">
        <item x="2"/>
        <item x="1"/>
        <item x="0"/>
        <item x="3"/>
        <item t="default"/>
      </items>
    </pivotField>
    <pivotField showAll="0"/>
    <pivotField showAll="0"/>
    <pivotField dataField="1" showAll="0"/>
    <pivotField showAl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Average of Price Sold" fld="14" subtotal="average" baseField="5" baseItem="0" numFmtId="1"/>
  </dataFields>
  <formats count="5">
    <format dxfId="11">
      <pivotArea outline="0" collapsedLevelsAreSubtotals="1" fieldPosition="0"/>
    </format>
    <format dxfId="10">
      <pivotArea outline="0" collapsedLevelsAreSubtotals="1" fieldPosition="0"/>
    </format>
    <format dxfId="9">
      <pivotArea outline="0" collapsedLevelsAreSubtotals="1" fieldPosition="0"/>
    </format>
    <format dxfId="8">
      <pivotArea collapsedLevelsAreSubtotals="1" fieldPosition="0">
        <references count="1">
          <reference field="5" count="0"/>
        </references>
      </pivotArea>
    </format>
    <format dxfId="7">
      <pivotArea grandRow="1" outline="0" collapsedLevelsAreSubtotals="1" fieldPosition="0"/>
    </format>
  </format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25:J33" firstHeaderRow="1" firstDataRow="1" firstDataCol="1"/>
  <pivotFields count="18">
    <pivotField showAll="0"/>
    <pivotField showAll="0"/>
    <pivotField showAll="0">
      <items count="6">
        <item x="0"/>
        <item x="3"/>
        <item x="4"/>
        <item x="2"/>
        <item x="1"/>
        <item t="default"/>
      </items>
    </pivotField>
    <pivotField showAll="0"/>
    <pivotField dataField="1" showAll="0" sortType="descending">
      <items count="6">
        <item x="0"/>
        <item x="1"/>
        <item x="3"/>
        <item x="4"/>
        <item x="2"/>
        <item t="default"/>
      </items>
    </pivotField>
    <pivotField showAll="0"/>
    <pivotField axis="axisRow" showAll="0">
      <items count="8">
        <item x="1"/>
        <item x="4"/>
        <item x="6"/>
        <item x="5"/>
        <item x="0"/>
        <item x="2"/>
        <item x="3"/>
        <item t="default"/>
      </items>
    </pivotField>
    <pivotField showAll="0"/>
    <pivotField showAll="0"/>
    <pivotField showAll="0"/>
    <pivotField numFmtId="9" showAll="0">
      <items count="6">
        <item x="3"/>
        <item x="2"/>
        <item x="0"/>
        <item x="1"/>
        <item x="4"/>
        <item t="default"/>
      </items>
    </pivotField>
    <pivotField showAll="0">
      <items count="5">
        <item x="2"/>
        <item x="1"/>
        <item x="0"/>
        <item x="3"/>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8">
    <i>
      <x/>
    </i>
    <i>
      <x v="1"/>
    </i>
    <i>
      <x v="2"/>
    </i>
    <i>
      <x v="3"/>
    </i>
    <i>
      <x v="4"/>
    </i>
    <i>
      <x v="5"/>
    </i>
    <i>
      <x v="6"/>
    </i>
    <i t="grand">
      <x/>
    </i>
  </rowItems>
  <colItems count="1">
    <i/>
  </colItems>
  <dataFields count="1">
    <dataField name="Count of Model" fld="4" subtotal="count"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State with the Most Sales">
  <location ref="P10:U11" firstHeaderRow="1" firstDataRow="2" firstDataCol="0"/>
  <pivotFields count="18">
    <pivotField showAll="0"/>
    <pivotField showAll="0"/>
    <pivotField axis="axisCol" showAll="0">
      <items count="6">
        <item x="0"/>
        <item x="3"/>
        <item x="4"/>
        <item x="2"/>
        <item x="1"/>
        <item t="default"/>
      </items>
    </pivotField>
    <pivotField showAll="0"/>
    <pivotField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6">
    <i>
      <x/>
    </i>
    <i>
      <x v="1"/>
    </i>
    <i>
      <x v="2"/>
    </i>
    <i>
      <x v="3"/>
    </i>
    <i>
      <x v="4"/>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Most Purchased Storage Capacity">
  <location ref="P14:Q15" firstHeaderRow="1" firstDataRow="2" firstDataCol="0"/>
  <pivotFields count="18">
    <pivotField showAll="0"/>
    <pivotField showAll="0"/>
    <pivotField showAll="0">
      <items count="6">
        <item x="0"/>
        <item x="3"/>
        <item x="4"/>
        <item x="2"/>
        <item x="1"/>
        <item t="default"/>
      </items>
    </pivotField>
    <pivotField showAll="0"/>
    <pivotField showAll="0">
      <items count="6">
        <item x="2"/>
        <item x="4"/>
        <item x="3"/>
        <item x="1"/>
        <item x="0"/>
        <item t="default"/>
      </items>
    </pivotField>
    <pivotField showAll="0"/>
    <pivotField showAll="0"/>
    <pivotField showAll="0"/>
    <pivotField axis="axisCol" showAll="0">
      <items count="6">
        <item h="1" x="4"/>
        <item x="1"/>
        <item h="1" x="3"/>
        <item h="1" x="0"/>
        <item h="1" x="2"/>
        <item t="default"/>
      </items>
    </pivotField>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8"/>
  </colFields>
  <colItems count="2">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Most Purchased Color">
  <location ref="P18:Q19" firstHeaderRow="1" firstDataRow="2" firstDataCol="0"/>
  <pivotFields count="18">
    <pivotField showAll="0"/>
    <pivotField showAll="0"/>
    <pivotField showAll="0">
      <items count="6">
        <item x="0"/>
        <item x="3"/>
        <item x="4"/>
        <item x="2"/>
        <item x="1"/>
        <item t="default"/>
      </items>
    </pivotField>
    <pivotField showAll="0"/>
    <pivotField showAll="0">
      <items count="6">
        <item x="2"/>
        <item x="4"/>
        <item x="3"/>
        <item x="1"/>
        <item x="0"/>
        <item t="default"/>
      </items>
    </pivotField>
    <pivotField showAll="0"/>
    <pivotField axis="axisCol" showAll="0">
      <items count="8">
        <item h="1" x="1"/>
        <item h="1" x="4"/>
        <item h="1" x="6"/>
        <item h="1" x="5"/>
        <item h="1" x="0"/>
        <item x="2"/>
        <item h="1" x="3"/>
        <item t="default"/>
      </items>
    </pivotField>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6"/>
  </colFields>
  <colItems count="2">
    <i>
      <x v="5"/>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3:B14" firstHeaderRow="1" firstDataRow="1" firstDataCol="0"/>
  <pivotFields count="18">
    <pivotField showAll="0"/>
    <pivotField showAll="0"/>
    <pivotField showAll="0">
      <items count="6">
        <item x="0"/>
        <item x="3"/>
        <item x="4"/>
        <item x="2"/>
        <item x="1"/>
        <item t="default"/>
      </items>
    </pivotField>
    <pivotField showAll="0"/>
    <pivotField dataField="1"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Iphone Sold" fld="4" subtotal="count" baseField="0" baseItem="0"/>
  </dataFields>
  <formats count="5">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7:B18" firstHeaderRow="1" firstDataRow="1" firstDataCol="0"/>
  <pivotFields count="18">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11"/>
        <item x="20"/>
        <item x="50"/>
        <item x="76"/>
        <item x="3"/>
        <item x="92"/>
        <item x="34"/>
        <item x="22"/>
        <item x="36"/>
        <item x="70"/>
        <item x="71"/>
        <item x="66"/>
        <item x="64"/>
        <item x="8"/>
        <item x="45"/>
        <item x="58"/>
        <item x="9"/>
        <item x="16"/>
        <item x="43"/>
        <item x="7"/>
        <item x="31"/>
        <item x="62"/>
        <item x="61"/>
        <item x="67"/>
        <item x="93"/>
        <item x="15"/>
        <item x="48"/>
        <item x="54"/>
        <item x="47"/>
        <item x="12"/>
        <item x="33"/>
        <item x="69"/>
        <item x="27"/>
        <item x="86"/>
        <item x="82"/>
        <item x="13"/>
        <item x="98"/>
        <item x="38"/>
        <item x="52"/>
        <item x="30"/>
        <item x="28"/>
        <item x="83"/>
        <item x="24"/>
        <item x="89"/>
        <item x="49"/>
        <item x="44"/>
        <item x="56"/>
        <item x="4"/>
        <item x="26"/>
        <item x="63"/>
        <item x="23"/>
        <item x="40"/>
        <item x="75"/>
        <item x="21"/>
        <item x="51"/>
        <item x="17"/>
        <item x="10"/>
        <item x="77"/>
        <item x="73"/>
        <item x="0"/>
        <item x="87"/>
        <item x="97"/>
        <item x="39"/>
        <item x="95"/>
        <item x="74"/>
        <item x="14"/>
        <item x="32"/>
        <item x="72"/>
        <item x="81"/>
        <item x="57"/>
        <item x="90"/>
        <item x="55"/>
        <item x="46"/>
        <item x="79"/>
        <item x="60"/>
        <item x="80"/>
        <item x="99"/>
        <item x="1"/>
        <item x="78"/>
        <item x="35"/>
        <item x="94"/>
        <item x="37"/>
        <item x="19"/>
        <item x="5"/>
        <item x="6"/>
        <item x="88"/>
        <item x="2"/>
        <item x="41"/>
        <item x="65"/>
        <item x="29"/>
        <item x="85"/>
        <item x="25"/>
        <item x="96"/>
        <item x="59"/>
        <item x="18"/>
        <item x="91"/>
        <item x="42"/>
        <item x="53"/>
        <item x="68"/>
        <item x="84"/>
        <item t="default"/>
      </items>
    </pivotField>
    <pivotField showAll="0">
      <items count="6">
        <item x="0"/>
        <item x="3"/>
        <item x="4"/>
        <item x="2"/>
        <item x="1"/>
        <item t="default"/>
      </items>
    </pivotField>
    <pivotField showAll="0"/>
    <pivotField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ataField="1" dragToRow="0" dragToCol="0" dragToPage="0" showAll="0" defaultSubtotal="0"/>
  </pivotFields>
  <rowItems count="1">
    <i/>
  </rowItems>
  <colItems count="1">
    <i/>
  </colItems>
  <dataFields count="1">
    <dataField name="% Profit" fld="17" baseField="0" baseItem="0" numFmtId="9"/>
  </dataFields>
  <formats count="18">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0"/>
          </reference>
        </references>
      </pivotArea>
    </format>
    <format dxfId="20">
      <pivotArea outline="0" collapsedLevelsAreSubtotals="1"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Most Expensive Model">
  <location ref="P6:U7" firstHeaderRow="1" firstDataRow="2" firstDataCol="0"/>
  <pivotFields count="18">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11"/>
        <item x="20"/>
        <item x="50"/>
        <item x="76"/>
        <item x="3"/>
        <item x="92"/>
        <item x="34"/>
        <item x="22"/>
        <item x="36"/>
        <item x="70"/>
        <item x="71"/>
        <item x="66"/>
        <item x="64"/>
        <item x="8"/>
        <item x="45"/>
        <item x="58"/>
        <item x="9"/>
        <item x="16"/>
        <item x="43"/>
        <item x="7"/>
        <item x="31"/>
        <item x="62"/>
        <item x="61"/>
        <item x="67"/>
        <item x="93"/>
        <item x="15"/>
        <item x="48"/>
        <item x="54"/>
        <item x="47"/>
        <item x="12"/>
        <item x="33"/>
        <item x="69"/>
        <item x="27"/>
        <item x="86"/>
        <item x="82"/>
        <item x="13"/>
        <item x="98"/>
        <item x="38"/>
        <item x="52"/>
        <item x="30"/>
        <item x="28"/>
        <item x="83"/>
        <item x="24"/>
        <item x="89"/>
        <item x="49"/>
        <item x="44"/>
        <item x="56"/>
        <item x="4"/>
        <item x="26"/>
        <item x="63"/>
        <item x="23"/>
        <item x="40"/>
        <item x="75"/>
        <item x="21"/>
        <item x="51"/>
        <item x="17"/>
        <item x="10"/>
        <item x="77"/>
        <item x="73"/>
        <item x="0"/>
        <item x="87"/>
        <item x="97"/>
        <item x="39"/>
        <item x="95"/>
        <item x="74"/>
        <item x="14"/>
        <item x="32"/>
        <item x="72"/>
        <item x="81"/>
        <item x="57"/>
        <item x="90"/>
        <item x="55"/>
        <item x="46"/>
        <item x="79"/>
        <item x="60"/>
        <item x="80"/>
        <item x="99"/>
        <item x="1"/>
        <item x="78"/>
        <item x="35"/>
        <item x="94"/>
        <item x="37"/>
        <item x="19"/>
        <item x="5"/>
        <item x="6"/>
        <item x="88"/>
        <item x="2"/>
        <item x="41"/>
        <item x="65"/>
        <item x="29"/>
        <item x="85"/>
        <item x="25"/>
        <item x="96"/>
        <item x="59"/>
        <item x="18"/>
        <item x="91"/>
        <item x="42"/>
        <item x="53"/>
        <item x="68"/>
        <item x="84"/>
        <item t="default"/>
      </items>
    </pivotField>
    <pivotField showAll="0">
      <items count="6">
        <item x="0"/>
        <item x="3"/>
        <item x="4"/>
        <item x="2"/>
        <item x="1"/>
        <item t="default"/>
      </items>
    </pivotField>
    <pivotField showAll="0"/>
    <pivotField axis="axisCol"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4"/>
  </colFields>
  <colItems count="6">
    <i>
      <x/>
    </i>
    <i>
      <x v="1"/>
    </i>
    <i>
      <x v="2"/>
    </i>
    <i>
      <x v="3"/>
    </i>
    <i>
      <x v="4"/>
    </i>
    <i t="grand">
      <x/>
    </i>
  </colItems>
  <formats count="12">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8:F43" firstHeaderRow="1" firstDataRow="1" firstDataCol="1"/>
  <pivotFields count="18">
    <pivotField showAll="0"/>
    <pivotField showAll="0"/>
    <pivotField showAll="0">
      <items count="6">
        <item x="0"/>
        <item x="3"/>
        <item x="4"/>
        <item x="2"/>
        <item x="1"/>
        <item t="default"/>
      </items>
    </pivotField>
    <pivotField showAll="0"/>
    <pivotField showAll="0" sortType="descending">
      <items count="6">
        <item x="0"/>
        <item x="1"/>
        <item x="3"/>
        <item x="4"/>
        <item x="2"/>
        <item t="default"/>
      </items>
    </pivotField>
    <pivotField showAll="0"/>
    <pivotField showAll="0"/>
    <pivotField showAll="0">
      <items count="5">
        <item x="1"/>
        <item x="3"/>
        <item x="0"/>
        <item x="2"/>
        <item t="default"/>
      </items>
    </pivotField>
    <pivotField showAll="0"/>
    <pivotField showAll="0"/>
    <pivotField numFmtId="9" showAll="0"/>
    <pivotField axis="axisRow" showAll="0">
      <items count="5">
        <item x="2"/>
        <item x="1"/>
        <item x="0"/>
        <item x="3"/>
        <item t="default"/>
      </items>
    </pivotField>
    <pivotField showAll="0"/>
    <pivotField showAll="0"/>
    <pivotField dataField="1" showAll="0"/>
    <pivotField showAll="0"/>
    <pivotField dragToRow="0" dragToCol="0" dragToPage="0" showAll="0" defaultSubtotal="0"/>
    <pivotField dragToRow="0" dragToCol="0" dragToPage="0" showAll="0" defaultSubtotal="0"/>
  </pivotFields>
  <rowFields count="1">
    <field x="11"/>
  </rowFields>
  <rowItems count="5">
    <i>
      <x/>
    </i>
    <i>
      <x v="1"/>
    </i>
    <i>
      <x v="2"/>
    </i>
    <i>
      <x v="3"/>
    </i>
    <i t="grand">
      <x/>
    </i>
  </rowItems>
  <colItems count="1">
    <i/>
  </colItems>
  <dataFields count="1">
    <dataField name="Average of Price Sold" fld="14" subtotal="average" baseField="11" baseItem="0" numFmtId="164"/>
  </dataFields>
  <formats count="7">
    <format dxfId="53">
      <pivotArea collapsedLevelsAreSubtotals="1" fieldPosition="0">
        <references count="1">
          <reference field="11" count="0"/>
        </references>
      </pivotArea>
    </format>
    <format dxfId="52">
      <pivotArea collapsedLevelsAreSubtotals="1" fieldPosition="0">
        <references count="1">
          <reference field="11" count="0"/>
        </references>
      </pivotArea>
    </format>
    <format dxfId="51">
      <pivotArea collapsedLevelsAreSubtotals="1" fieldPosition="0">
        <references count="1">
          <reference field="11" count="0"/>
        </references>
      </pivotArea>
    </format>
    <format dxfId="50">
      <pivotArea collapsedLevelsAreSubtotals="1" fieldPosition="0">
        <references count="1">
          <reference field="11" count="0"/>
        </references>
      </pivotArea>
    </format>
    <format dxfId="49">
      <pivotArea grandRow="1" outline="0" collapsedLevelsAreSubtotals="1" fieldPosition="0"/>
    </format>
    <format dxfId="48">
      <pivotArea grandRow="1" outline="0" collapsedLevelsAreSubtotals="1" fieldPosition="0"/>
    </format>
    <format dxfId="47">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B10" firstHeaderRow="1" firstDataRow="1" firstDataCol="0"/>
  <pivotFields count="18">
    <pivotField showAll="0"/>
    <pivotField showAll="0"/>
    <pivotField showAll="0">
      <items count="6">
        <item x="0"/>
        <item x="3"/>
        <item x="4"/>
        <item x="2"/>
        <item x="1"/>
        <item t="default"/>
      </items>
    </pivotField>
    <pivotField showAll="0"/>
    <pivotField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dataField="1" showAll="0"/>
    <pivotField dragToRow="0" dragToCol="0" dragToPage="0" showAll="0" defaultSubtotal="0"/>
    <pivotField dragToRow="0" dragToCol="0" dragToPage="0" showAll="0" defaultSubtotal="0"/>
  </pivotFields>
  <rowItems count="1">
    <i/>
  </rowItems>
  <colItems count="1">
    <i/>
  </colItems>
  <dataFields count="1">
    <dataField name="Profit Made" fld="15" baseField="0" baseItem="0" numFmtId="164"/>
  </dataFields>
  <formats count="5">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dataOnly="0" labelOnly="1" outline="0" axis="axisValues"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6:J12" firstHeaderRow="1" firstDataRow="1" firstDataCol="1"/>
  <pivotFields count="18">
    <pivotField showAll="0"/>
    <pivotField showAll="0"/>
    <pivotField axis="axisRow" showAll="0">
      <items count="6">
        <item x="0"/>
        <item x="3"/>
        <item x="4"/>
        <item x="2"/>
        <item x="1"/>
        <item t="default"/>
      </items>
    </pivotField>
    <pivotField showAll="0"/>
    <pivotField dataField="1" showAll="0" sortType="descending">
      <items count="6">
        <item x="0"/>
        <item x="1"/>
        <item x="3"/>
        <item x="4"/>
        <item x="2"/>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Count of Model" fld="4" subtotal="count"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B6" firstHeaderRow="1" firstDataRow="1" firstDataCol="0"/>
  <pivotFields count="18">
    <pivotField showAll="0"/>
    <pivotField dataField="1" showAll="0"/>
    <pivotField showAll="0">
      <items count="6">
        <item x="0"/>
        <item x="3"/>
        <item x="4"/>
        <item x="2"/>
        <item x="1"/>
        <item t="default"/>
      </items>
    </pivotField>
    <pivotField showAll="0"/>
    <pivotField showAll="0">
      <items count="6">
        <item x="2"/>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Revenue" fld="1" baseField="0" baseItem="0" numFmtId="164"/>
  </dataFields>
  <formats count="2">
    <format dxfId="60">
      <pivotArea outline="0" collapsedLevelsAreSubtotals="1"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del" sourceName="Model">
  <pivotTables>
    <pivotTable tabId="3" name="PivotTable26"/>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s>
  <data>
    <tabular pivotCacheId="1">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6"/>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s>
  <data>
    <tabular pivotCacheId="1">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del" cache="Slicer_Model" caption="Model" columnCount="3" showCaption="0" style="Slicer Style 1" rowHeight="241300"/>
  <slicer name="Region 1" cache="Slicer_Region" caption="Region" columnCount="5"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del 1" cache="Slicer_Model" caption="Model" columnCount="3" showCaption="0" style="Slicer Style 1" rowHeight="241300"/>
  <slicer name="Region" cache="Slicer_Region" caption="Region" columnCount="5" showCaption="0" style="Slicer Style 1" rowHeight="241300"/>
</slicers>
</file>

<file path=xl/tables/table1.xml><?xml version="1.0" encoding="utf-8"?>
<table xmlns="http://schemas.openxmlformats.org/spreadsheetml/2006/main" id="2" name="Table2" displayName="Table2" ref="A1:P101" totalsRowShown="0">
  <autoFilter ref="A1:P101"/>
  <tableColumns count="16">
    <tableColumn id="1" name="Id"/>
    <tableColumn id="2" name="Amount"/>
    <tableColumn id="3" name="Region"/>
    <tableColumn id="4" name="Make"/>
    <tableColumn id="5" name="Model"/>
    <tableColumn id="6" name="Year of manufacture"/>
    <tableColumn id="7" name="Color"/>
    <tableColumn id="8" name="Condition"/>
    <tableColumn id="9" name="Storage capacity"/>
    <tableColumn id="10" name="Camera quality"/>
    <tableColumn id="11" name="Battery Life"/>
    <tableColumn id="12" name="Selling condition"/>
    <tableColumn id="13" name="Bought condition"/>
    <tableColumn id="14" name="Price Bought"/>
    <tableColumn id="15" name="Price Sold"/>
    <tableColumn id="1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T25" sqref="T25"/>
    </sheetView>
  </sheetViews>
  <sheetFormatPr defaultRowHeight="14.5" x14ac:dyDescent="0.35"/>
  <cols>
    <col min="1" max="16384" width="8.7265625" style="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topLeftCell="A7" workbookViewId="0">
      <selection activeCell="A31" sqref="A31"/>
    </sheetView>
  </sheetViews>
  <sheetFormatPr defaultRowHeight="14.5" x14ac:dyDescent="0.35"/>
  <cols>
    <col min="2" max="2" width="9.6328125" customWidth="1"/>
    <col min="6" max="6" width="20" customWidth="1"/>
    <col min="8" max="8" width="11" customWidth="1"/>
    <col min="9" max="9" width="16.453125" customWidth="1"/>
    <col min="10" max="10" width="15.453125" customWidth="1"/>
    <col min="11" max="11" width="12.36328125" customWidth="1"/>
    <col min="12" max="12" width="16.453125" customWidth="1"/>
    <col min="13" max="13" width="17.1796875" customWidth="1"/>
    <col min="14" max="14" width="13.36328125" customWidth="1"/>
    <col min="15" max="15" width="10.906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50</v>
      </c>
    </row>
    <row r="2" spans="1:16" x14ac:dyDescent="0.35">
      <c r="A2">
        <v>1</v>
      </c>
      <c r="B2">
        <v>823043</v>
      </c>
      <c r="C2" t="s">
        <v>15</v>
      </c>
      <c r="D2" t="s">
        <v>16</v>
      </c>
      <c r="E2" t="s">
        <v>17</v>
      </c>
      <c r="F2">
        <v>2024</v>
      </c>
      <c r="G2" t="s">
        <v>18</v>
      </c>
      <c r="H2" t="s">
        <v>19</v>
      </c>
      <c r="I2" t="s">
        <v>20</v>
      </c>
      <c r="J2" t="s">
        <v>21</v>
      </c>
      <c r="K2">
        <v>0.95</v>
      </c>
      <c r="L2" t="s">
        <v>22</v>
      </c>
      <c r="M2" t="s">
        <v>19</v>
      </c>
      <c r="N2">
        <v>498981</v>
      </c>
      <c r="O2">
        <v>823043</v>
      </c>
      <c r="P2">
        <v>324062</v>
      </c>
    </row>
    <row r="3" spans="1:16" x14ac:dyDescent="0.35">
      <c r="A3">
        <v>2</v>
      </c>
      <c r="B3">
        <v>929578</v>
      </c>
      <c r="C3" t="s">
        <v>23</v>
      </c>
      <c r="D3" t="s">
        <v>16</v>
      </c>
      <c r="E3" t="s">
        <v>24</v>
      </c>
      <c r="F3">
        <v>2021</v>
      </c>
      <c r="G3" t="s">
        <v>25</v>
      </c>
      <c r="H3" t="s">
        <v>19</v>
      </c>
      <c r="I3" t="s">
        <v>20</v>
      </c>
      <c r="J3" t="s">
        <v>26</v>
      </c>
      <c r="K3">
        <v>0.98</v>
      </c>
      <c r="L3" t="s">
        <v>22</v>
      </c>
      <c r="M3" t="s">
        <v>27</v>
      </c>
      <c r="N3">
        <v>827480</v>
      </c>
      <c r="O3">
        <v>929578</v>
      </c>
      <c r="P3">
        <v>102098</v>
      </c>
    </row>
    <row r="4" spans="1:16" x14ac:dyDescent="0.35">
      <c r="A4">
        <v>3</v>
      </c>
      <c r="B4">
        <v>1055102</v>
      </c>
      <c r="C4" t="s">
        <v>28</v>
      </c>
      <c r="D4" t="s">
        <v>16</v>
      </c>
      <c r="E4" t="s">
        <v>17</v>
      </c>
      <c r="F4">
        <v>2024</v>
      </c>
      <c r="G4" t="s">
        <v>29</v>
      </c>
      <c r="H4" t="s">
        <v>19</v>
      </c>
      <c r="I4" t="s">
        <v>20</v>
      </c>
      <c r="J4" t="s">
        <v>21</v>
      </c>
      <c r="K4">
        <v>0.9</v>
      </c>
      <c r="L4" t="s">
        <v>30</v>
      </c>
      <c r="M4" t="s">
        <v>19</v>
      </c>
      <c r="N4">
        <v>793665</v>
      </c>
      <c r="O4">
        <v>1055102</v>
      </c>
      <c r="P4">
        <v>261437</v>
      </c>
    </row>
    <row r="5" spans="1:16" x14ac:dyDescent="0.35">
      <c r="A5">
        <v>4</v>
      </c>
      <c r="B5">
        <v>196220</v>
      </c>
      <c r="C5" t="s">
        <v>31</v>
      </c>
      <c r="D5" t="s">
        <v>16</v>
      </c>
      <c r="E5" t="s">
        <v>24</v>
      </c>
      <c r="F5">
        <v>2020</v>
      </c>
      <c r="G5" t="s">
        <v>32</v>
      </c>
      <c r="H5" t="s">
        <v>33</v>
      </c>
      <c r="I5" t="s">
        <v>34</v>
      </c>
      <c r="J5" t="s">
        <v>26</v>
      </c>
      <c r="K5">
        <v>0.95</v>
      </c>
      <c r="L5" t="s">
        <v>35</v>
      </c>
      <c r="M5" t="s">
        <v>27</v>
      </c>
      <c r="N5">
        <v>172470</v>
      </c>
      <c r="O5">
        <v>196220</v>
      </c>
      <c r="P5">
        <v>23750</v>
      </c>
    </row>
    <row r="6" spans="1:16" x14ac:dyDescent="0.35">
      <c r="A6">
        <v>5</v>
      </c>
      <c r="B6">
        <v>662428</v>
      </c>
      <c r="C6" t="s">
        <v>36</v>
      </c>
      <c r="D6" t="s">
        <v>16</v>
      </c>
      <c r="E6" t="s">
        <v>17</v>
      </c>
      <c r="F6">
        <v>2022</v>
      </c>
      <c r="G6" t="s">
        <v>29</v>
      </c>
      <c r="H6" t="s">
        <v>27</v>
      </c>
      <c r="I6" t="s">
        <v>37</v>
      </c>
      <c r="J6" t="s">
        <v>21</v>
      </c>
      <c r="K6">
        <v>0.95</v>
      </c>
      <c r="L6" t="s">
        <v>38</v>
      </c>
      <c r="M6" t="s">
        <v>27</v>
      </c>
      <c r="N6">
        <v>546718</v>
      </c>
      <c r="O6">
        <v>662428</v>
      </c>
      <c r="P6">
        <v>115710</v>
      </c>
    </row>
    <row r="7" spans="1:16" x14ac:dyDescent="0.35">
      <c r="A7">
        <v>6</v>
      </c>
      <c r="B7">
        <v>990859</v>
      </c>
      <c r="C7" t="s">
        <v>36</v>
      </c>
      <c r="D7" t="s">
        <v>16</v>
      </c>
      <c r="E7" t="s">
        <v>39</v>
      </c>
      <c r="F7">
        <v>2019</v>
      </c>
      <c r="G7" t="s">
        <v>29</v>
      </c>
      <c r="H7" t="s">
        <v>19</v>
      </c>
      <c r="I7" t="s">
        <v>40</v>
      </c>
      <c r="J7" t="s">
        <v>21</v>
      </c>
      <c r="K7">
        <v>0.98</v>
      </c>
      <c r="L7" t="s">
        <v>38</v>
      </c>
      <c r="M7" t="s">
        <v>27</v>
      </c>
      <c r="N7">
        <v>719742</v>
      </c>
      <c r="O7">
        <v>990859</v>
      </c>
      <c r="P7">
        <v>271117</v>
      </c>
    </row>
    <row r="8" spans="1:16" x14ac:dyDescent="0.35">
      <c r="A8">
        <v>7</v>
      </c>
      <c r="B8">
        <v>996892</v>
      </c>
      <c r="C8" t="s">
        <v>15</v>
      </c>
      <c r="D8" t="s">
        <v>16</v>
      </c>
      <c r="E8" t="s">
        <v>41</v>
      </c>
      <c r="F8">
        <v>2023</v>
      </c>
      <c r="G8" t="s">
        <v>42</v>
      </c>
      <c r="H8" t="s">
        <v>27</v>
      </c>
      <c r="I8" t="s">
        <v>40</v>
      </c>
      <c r="J8" t="s">
        <v>26</v>
      </c>
      <c r="K8">
        <v>0.98</v>
      </c>
      <c r="L8" t="s">
        <v>38</v>
      </c>
      <c r="M8" t="s">
        <v>19</v>
      </c>
      <c r="N8">
        <v>789639</v>
      </c>
      <c r="O8">
        <v>996892</v>
      </c>
      <c r="P8">
        <v>207253</v>
      </c>
    </row>
    <row r="9" spans="1:16" x14ac:dyDescent="0.35">
      <c r="A9">
        <v>8</v>
      </c>
      <c r="B9">
        <v>350997</v>
      </c>
      <c r="C9" t="s">
        <v>15</v>
      </c>
      <c r="D9" t="s">
        <v>16</v>
      </c>
      <c r="E9" t="s">
        <v>24</v>
      </c>
      <c r="F9">
        <v>2021</v>
      </c>
      <c r="G9" t="s">
        <v>29</v>
      </c>
      <c r="H9" t="s">
        <v>43</v>
      </c>
      <c r="I9" t="s">
        <v>37</v>
      </c>
      <c r="J9" t="s">
        <v>21</v>
      </c>
      <c r="K9">
        <v>0.98</v>
      </c>
      <c r="L9" t="s">
        <v>30</v>
      </c>
      <c r="M9" t="s">
        <v>27</v>
      </c>
      <c r="N9">
        <v>237170</v>
      </c>
      <c r="O9">
        <v>350997</v>
      </c>
      <c r="P9">
        <v>113827</v>
      </c>
    </row>
    <row r="10" spans="1:16" x14ac:dyDescent="0.35">
      <c r="A10">
        <v>9</v>
      </c>
      <c r="B10">
        <v>283124</v>
      </c>
      <c r="C10" t="s">
        <v>15</v>
      </c>
      <c r="D10" t="s">
        <v>16</v>
      </c>
      <c r="E10" t="s">
        <v>44</v>
      </c>
      <c r="F10">
        <v>2024</v>
      </c>
      <c r="G10" t="s">
        <v>45</v>
      </c>
      <c r="H10" t="s">
        <v>33</v>
      </c>
      <c r="I10" t="s">
        <v>34</v>
      </c>
      <c r="J10" t="s">
        <v>46</v>
      </c>
      <c r="K10">
        <v>0.98</v>
      </c>
      <c r="L10" t="s">
        <v>30</v>
      </c>
      <c r="M10" t="s">
        <v>43</v>
      </c>
      <c r="N10">
        <v>208884</v>
      </c>
      <c r="O10">
        <v>283124</v>
      </c>
      <c r="P10">
        <v>74240</v>
      </c>
    </row>
    <row r="11" spans="1:16" x14ac:dyDescent="0.35">
      <c r="A11">
        <v>10</v>
      </c>
      <c r="B11">
        <v>293356</v>
      </c>
      <c r="C11" t="s">
        <v>36</v>
      </c>
      <c r="D11" t="s">
        <v>16</v>
      </c>
      <c r="E11" t="s">
        <v>24</v>
      </c>
      <c r="F11">
        <v>2022</v>
      </c>
      <c r="G11" t="s">
        <v>29</v>
      </c>
      <c r="H11" t="s">
        <v>27</v>
      </c>
      <c r="I11" t="s">
        <v>34</v>
      </c>
      <c r="J11" t="s">
        <v>47</v>
      </c>
      <c r="K11">
        <v>0.9</v>
      </c>
      <c r="L11" t="s">
        <v>35</v>
      </c>
      <c r="M11" t="s">
        <v>27</v>
      </c>
      <c r="N11">
        <v>225632</v>
      </c>
      <c r="O11">
        <v>293356</v>
      </c>
      <c r="P11">
        <v>67724</v>
      </c>
    </row>
    <row r="12" spans="1:16" x14ac:dyDescent="0.35">
      <c r="A12">
        <v>11</v>
      </c>
      <c r="B12">
        <v>784404</v>
      </c>
      <c r="C12" t="s">
        <v>36</v>
      </c>
      <c r="D12" t="s">
        <v>16</v>
      </c>
      <c r="E12" t="s">
        <v>24</v>
      </c>
      <c r="F12">
        <v>2023</v>
      </c>
      <c r="G12" t="s">
        <v>29</v>
      </c>
      <c r="H12" t="s">
        <v>19</v>
      </c>
      <c r="I12" t="s">
        <v>34</v>
      </c>
      <c r="J12" t="s">
        <v>47</v>
      </c>
      <c r="K12">
        <v>0.98</v>
      </c>
      <c r="L12" t="s">
        <v>22</v>
      </c>
      <c r="M12" t="s">
        <v>19</v>
      </c>
      <c r="N12">
        <v>474545</v>
      </c>
      <c r="O12">
        <v>784404</v>
      </c>
      <c r="P12">
        <v>309859</v>
      </c>
    </row>
    <row r="13" spans="1:16" x14ac:dyDescent="0.35">
      <c r="A13">
        <v>12</v>
      </c>
      <c r="B13">
        <v>152585</v>
      </c>
      <c r="C13" t="s">
        <v>28</v>
      </c>
      <c r="D13" t="s">
        <v>16</v>
      </c>
      <c r="E13" t="s">
        <v>39</v>
      </c>
      <c r="F13">
        <v>2020</v>
      </c>
      <c r="G13" t="s">
        <v>29</v>
      </c>
      <c r="H13" t="s">
        <v>43</v>
      </c>
      <c r="I13" t="s">
        <v>20</v>
      </c>
      <c r="J13" t="s">
        <v>47</v>
      </c>
      <c r="K13">
        <v>0.95</v>
      </c>
      <c r="L13" t="s">
        <v>35</v>
      </c>
      <c r="M13" t="s">
        <v>19</v>
      </c>
      <c r="N13">
        <v>127819</v>
      </c>
      <c r="O13">
        <v>152585</v>
      </c>
      <c r="P13">
        <v>24766</v>
      </c>
    </row>
    <row r="14" spans="1:16" x14ac:dyDescent="0.35">
      <c r="A14">
        <v>13</v>
      </c>
      <c r="B14">
        <v>477874</v>
      </c>
      <c r="C14" t="s">
        <v>23</v>
      </c>
      <c r="D14" t="s">
        <v>16</v>
      </c>
      <c r="E14" t="s">
        <v>39</v>
      </c>
      <c r="F14">
        <v>2019</v>
      </c>
      <c r="G14" t="s">
        <v>32</v>
      </c>
      <c r="H14" t="s">
        <v>33</v>
      </c>
      <c r="I14" t="s">
        <v>48</v>
      </c>
      <c r="J14" t="s">
        <v>46</v>
      </c>
      <c r="K14">
        <v>0.85</v>
      </c>
      <c r="L14" t="s">
        <v>35</v>
      </c>
      <c r="M14" t="s">
        <v>27</v>
      </c>
      <c r="N14">
        <v>427188</v>
      </c>
      <c r="O14">
        <v>477874</v>
      </c>
      <c r="P14">
        <v>50686</v>
      </c>
    </row>
    <row r="15" spans="1:16" x14ac:dyDescent="0.35">
      <c r="A15">
        <v>14</v>
      </c>
      <c r="B15">
        <v>533597</v>
      </c>
      <c r="C15" t="s">
        <v>28</v>
      </c>
      <c r="D15" t="s">
        <v>16</v>
      </c>
      <c r="E15" t="s">
        <v>24</v>
      </c>
      <c r="F15">
        <v>2024</v>
      </c>
      <c r="G15" t="s">
        <v>32</v>
      </c>
      <c r="H15" t="s">
        <v>33</v>
      </c>
      <c r="I15" t="s">
        <v>20</v>
      </c>
      <c r="J15" t="s">
        <v>26</v>
      </c>
      <c r="K15">
        <v>0.85</v>
      </c>
      <c r="L15" t="s">
        <v>35</v>
      </c>
      <c r="M15" t="s">
        <v>19</v>
      </c>
      <c r="N15">
        <v>401253</v>
      </c>
      <c r="O15">
        <v>533597</v>
      </c>
      <c r="P15">
        <v>132344</v>
      </c>
    </row>
    <row r="16" spans="1:16" x14ac:dyDescent="0.35">
      <c r="A16">
        <v>15</v>
      </c>
      <c r="B16">
        <v>845118</v>
      </c>
      <c r="C16" t="s">
        <v>31</v>
      </c>
      <c r="D16" t="s">
        <v>16</v>
      </c>
      <c r="E16" t="s">
        <v>39</v>
      </c>
      <c r="F16">
        <v>2022</v>
      </c>
      <c r="G16" t="s">
        <v>49</v>
      </c>
      <c r="H16" t="s">
        <v>19</v>
      </c>
      <c r="I16" t="s">
        <v>40</v>
      </c>
      <c r="J16" t="s">
        <v>26</v>
      </c>
      <c r="K16">
        <v>0.85</v>
      </c>
      <c r="L16" t="s">
        <v>22</v>
      </c>
      <c r="M16" t="s">
        <v>27</v>
      </c>
      <c r="N16">
        <v>708638</v>
      </c>
      <c r="O16">
        <v>845118</v>
      </c>
      <c r="P16">
        <v>136480</v>
      </c>
    </row>
    <row r="17" spans="1:16" x14ac:dyDescent="0.35">
      <c r="A17">
        <v>16</v>
      </c>
      <c r="B17">
        <v>456424</v>
      </c>
      <c r="C17" t="s">
        <v>31</v>
      </c>
      <c r="D17" t="s">
        <v>16</v>
      </c>
      <c r="E17" t="s">
        <v>44</v>
      </c>
      <c r="F17">
        <v>2019</v>
      </c>
      <c r="G17" t="s">
        <v>42</v>
      </c>
      <c r="H17" t="s">
        <v>27</v>
      </c>
      <c r="I17" t="s">
        <v>37</v>
      </c>
      <c r="J17" t="s">
        <v>46</v>
      </c>
      <c r="K17">
        <v>0.9</v>
      </c>
      <c r="L17" t="s">
        <v>22</v>
      </c>
      <c r="M17" t="s">
        <v>27</v>
      </c>
      <c r="N17">
        <v>335376</v>
      </c>
      <c r="O17">
        <v>456424</v>
      </c>
      <c r="P17">
        <v>121048</v>
      </c>
    </row>
    <row r="18" spans="1:16" x14ac:dyDescent="0.35">
      <c r="A18">
        <v>17</v>
      </c>
      <c r="B18">
        <v>301264</v>
      </c>
      <c r="C18" t="s">
        <v>31</v>
      </c>
      <c r="D18" t="s">
        <v>16</v>
      </c>
      <c r="E18" t="s">
        <v>41</v>
      </c>
      <c r="F18">
        <v>2023</v>
      </c>
      <c r="G18" t="s">
        <v>49</v>
      </c>
      <c r="H18" t="s">
        <v>19</v>
      </c>
      <c r="I18" t="s">
        <v>20</v>
      </c>
      <c r="J18" t="s">
        <v>47</v>
      </c>
      <c r="K18">
        <v>0.85</v>
      </c>
      <c r="L18" t="s">
        <v>38</v>
      </c>
      <c r="M18" t="s">
        <v>19</v>
      </c>
      <c r="N18">
        <v>234292</v>
      </c>
      <c r="O18">
        <v>301264</v>
      </c>
      <c r="P18">
        <v>66972</v>
      </c>
    </row>
    <row r="19" spans="1:16" x14ac:dyDescent="0.35">
      <c r="A19">
        <v>18</v>
      </c>
      <c r="B19">
        <v>768358</v>
      </c>
      <c r="C19" t="s">
        <v>15</v>
      </c>
      <c r="D19" t="s">
        <v>16</v>
      </c>
      <c r="E19" t="s">
        <v>41</v>
      </c>
      <c r="F19">
        <v>2023</v>
      </c>
      <c r="G19" t="s">
        <v>42</v>
      </c>
      <c r="H19" t="s">
        <v>19</v>
      </c>
      <c r="I19" t="s">
        <v>40</v>
      </c>
      <c r="J19" t="s">
        <v>26</v>
      </c>
      <c r="K19">
        <v>0.85</v>
      </c>
      <c r="L19" t="s">
        <v>22</v>
      </c>
      <c r="M19" t="s">
        <v>43</v>
      </c>
      <c r="N19">
        <v>544912</v>
      </c>
      <c r="O19">
        <v>768358</v>
      </c>
      <c r="P19">
        <v>223446</v>
      </c>
    </row>
    <row r="20" spans="1:16" x14ac:dyDescent="0.35">
      <c r="A20">
        <v>19</v>
      </c>
      <c r="B20">
        <v>1144227</v>
      </c>
      <c r="C20" t="s">
        <v>31</v>
      </c>
      <c r="D20" t="s">
        <v>16</v>
      </c>
      <c r="E20" t="s">
        <v>17</v>
      </c>
      <c r="F20">
        <v>2022</v>
      </c>
      <c r="G20" t="s">
        <v>29</v>
      </c>
      <c r="H20" t="s">
        <v>19</v>
      </c>
      <c r="I20" t="s">
        <v>40</v>
      </c>
      <c r="J20" t="s">
        <v>47</v>
      </c>
      <c r="K20">
        <v>0.9</v>
      </c>
      <c r="L20" t="s">
        <v>22</v>
      </c>
      <c r="M20" t="s">
        <v>19</v>
      </c>
      <c r="N20">
        <v>928076</v>
      </c>
      <c r="O20">
        <v>1144227</v>
      </c>
      <c r="P20">
        <v>216151</v>
      </c>
    </row>
    <row r="21" spans="1:16" x14ac:dyDescent="0.35">
      <c r="A21">
        <v>20</v>
      </c>
      <c r="B21">
        <v>965913</v>
      </c>
      <c r="C21" t="s">
        <v>28</v>
      </c>
      <c r="D21" t="s">
        <v>16</v>
      </c>
      <c r="E21" t="s">
        <v>41</v>
      </c>
      <c r="F21">
        <v>2023</v>
      </c>
      <c r="G21" t="s">
        <v>29</v>
      </c>
      <c r="H21" t="s">
        <v>43</v>
      </c>
      <c r="I21" t="s">
        <v>37</v>
      </c>
      <c r="J21" t="s">
        <v>26</v>
      </c>
      <c r="K21">
        <v>0.9</v>
      </c>
      <c r="L21" t="s">
        <v>35</v>
      </c>
      <c r="M21" t="s">
        <v>43</v>
      </c>
      <c r="N21">
        <v>704514</v>
      </c>
      <c r="O21">
        <v>965913</v>
      </c>
      <c r="P21">
        <v>261399</v>
      </c>
    </row>
    <row r="22" spans="1:16" x14ac:dyDescent="0.35">
      <c r="A22">
        <v>21</v>
      </c>
      <c r="B22">
        <v>156945</v>
      </c>
      <c r="C22" t="s">
        <v>31</v>
      </c>
      <c r="D22" t="s">
        <v>16</v>
      </c>
      <c r="E22" t="s">
        <v>41</v>
      </c>
      <c r="F22">
        <v>2022</v>
      </c>
      <c r="G22" t="s">
        <v>25</v>
      </c>
      <c r="H22" t="s">
        <v>43</v>
      </c>
      <c r="I22" t="s">
        <v>20</v>
      </c>
      <c r="J22" t="s">
        <v>46</v>
      </c>
      <c r="K22">
        <v>1</v>
      </c>
      <c r="L22" t="s">
        <v>30</v>
      </c>
      <c r="M22" t="s">
        <v>19</v>
      </c>
      <c r="N22">
        <v>109622</v>
      </c>
      <c r="O22">
        <v>156945</v>
      </c>
      <c r="P22">
        <v>47323</v>
      </c>
    </row>
    <row r="23" spans="1:16" x14ac:dyDescent="0.35">
      <c r="A23">
        <v>22</v>
      </c>
      <c r="B23">
        <v>748001</v>
      </c>
      <c r="C23" t="s">
        <v>15</v>
      </c>
      <c r="D23" t="s">
        <v>16</v>
      </c>
      <c r="E23" t="s">
        <v>44</v>
      </c>
      <c r="F23">
        <v>2020</v>
      </c>
      <c r="G23" t="s">
        <v>49</v>
      </c>
      <c r="H23" t="s">
        <v>19</v>
      </c>
      <c r="I23" t="s">
        <v>48</v>
      </c>
      <c r="J23" t="s">
        <v>21</v>
      </c>
      <c r="K23">
        <v>0.9</v>
      </c>
      <c r="L23" t="s">
        <v>38</v>
      </c>
      <c r="M23" t="s">
        <v>27</v>
      </c>
      <c r="N23">
        <v>516282</v>
      </c>
      <c r="O23">
        <v>748001</v>
      </c>
      <c r="P23">
        <v>231719</v>
      </c>
    </row>
    <row r="24" spans="1:16" x14ac:dyDescent="0.35">
      <c r="A24">
        <v>23</v>
      </c>
      <c r="B24">
        <v>207199</v>
      </c>
      <c r="C24" t="s">
        <v>31</v>
      </c>
      <c r="D24" t="s">
        <v>16</v>
      </c>
      <c r="E24" t="s">
        <v>44</v>
      </c>
      <c r="F24">
        <v>2022</v>
      </c>
      <c r="G24" t="s">
        <v>45</v>
      </c>
      <c r="H24" t="s">
        <v>43</v>
      </c>
      <c r="I24" t="s">
        <v>34</v>
      </c>
      <c r="J24" t="s">
        <v>46</v>
      </c>
      <c r="K24">
        <v>1</v>
      </c>
      <c r="L24" t="s">
        <v>22</v>
      </c>
      <c r="M24" t="s">
        <v>43</v>
      </c>
      <c r="N24">
        <v>164772</v>
      </c>
      <c r="O24">
        <v>207199</v>
      </c>
      <c r="P24">
        <v>42427</v>
      </c>
    </row>
    <row r="25" spans="1:16" x14ac:dyDescent="0.35">
      <c r="A25">
        <v>24</v>
      </c>
      <c r="B25">
        <v>727257</v>
      </c>
      <c r="C25" t="s">
        <v>23</v>
      </c>
      <c r="D25" t="s">
        <v>16</v>
      </c>
      <c r="E25" t="s">
        <v>44</v>
      </c>
      <c r="F25">
        <v>2024</v>
      </c>
      <c r="G25" t="s">
        <v>32</v>
      </c>
      <c r="H25" t="s">
        <v>43</v>
      </c>
      <c r="I25" t="s">
        <v>34</v>
      </c>
      <c r="J25" t="s">
        <v>46</v>
      </c>
      <c r="K25">
        <v>0.85</v>
      </c>
      <c r="L25" t="s">
        <v>30</v>
      </c>
      <c r="M25" t="s">
        <v>19</v>
      </c>
      <c r="N25">
        <v>634798</v>
      </c>
      <c r="O25">
        <v>727257</v>
      </c>
      <c r="P25">
        <v>92459</v>
      </c>
    </row>
    <row r="26" spans="1:16" x14ac:dyDescent="0.35">
      <c r="A26">
        <v>25</v>
      </c>
      <c r="B26">
        <v>604937</v>
      </c>
      <c r="C26" t="s">
        <v>36</v>
      </c>
      <c r="D26" t="s">
        <v>16</v>
      </c>
      <c r="E26" t="s">
        <v>17</v>
      </c>
      <c r="F26">
        <v>2024</v>
      </c>
      <c r="G26" t="s">
        <v>18</v>
      </c>
      <c r="H26" t="s">
        <v>33</v>
      </c>
      <c r="I26" t="s">
        <v>34</v>
      </c>
      <c r="J26" t="s">
        <v>26</v>
      </c>
      <c r="K26">
        <v>0.98</v>
      </c>
      <c r="L26" t="s">
        <v>22</v>
      </c>
      <c r="M26" t="s">
        <v>43</v>
      </c>
      <c r="N26">
        <v>460538</v>
      </c>
      <c r="O26">
        <v>604937</v>
      </c>
      <c r="P26">
        <v>144399</v>
      </c>
    </row>
    <row r="27" spans="1:16" x14ac:dyDescent="0.35">
      <c r="A27">
        <v>26</v>
      </c>
      <c r="B27">
        <v>1103645</v>
      </c>
      <c r="C27" t="s">
        <v>28</v>
      </c>
      <c r="D27" t="s">
        <v>16</v>
      </c>
      <c r="E27" t="s">
        <v>39</v>
      </c>
      <c r="F27">
        <v>2021</v>
      </c>
      <c r="G27" t="s">
        <v>32</v>
      </c>
      <c r="H27" t="s">
        <v>27</v>
      </c>
      <c r="I27" t="s">
        <v>37</v>
      </c>
      <c r="J27" t="s">
        <v>26</v>
      </c>
      <c r="K27">
        <v>0.98</v>
      </c>
      <c r="L27" t="s">
        <v>35</v>
      </c>
      <c r="M27" t="s">
        <v>43</v>
      </c>
      <c r="N27">
        <v>873651</v>
      </c>
      <c r="O27">
        <v>1103645</v>
      </c>
      <c r="P27">
        <v>229994</v>
      </c>
    </row>
    <row r="28" spans="1:16" x14ac:dyDescent="0.35">
      <c r="A28">
        <v>27</v>
      </c>
      <c r="B28">
        <v>677226</v>
      </c>
      <c r="C28" t="s">
        <v>23</v>
      </c>
      <c r="D28" t="s">
        <v>16</v>
      </c>
      <c r="E28" t="s">
        <v>39</v>
      </c>
      <c r="F28">
        <v>2019</v>
      </c>
      <c r="G28" t="s">
        <v>29</v>
      </c>
      <c r="H28" t="s">
        <v>27</v>
      </c>
      <c r="I28" t="s">
        <v>40</v>
      </c>
      <c r="J28" t="s">
        <v>46</v>
      </c>
      <c r="K28">
        <v>0.9</v>
      </c>
      <c r="L28" t="s">
        <v>22</v>
      </c>
      <c r="M28" t="s">
        <v>27</v>
      </c>
      <c r="N28">
        <v>533585</v>
      </c>
      <c r="O28">
        <v>677226</v>
      </c>
      <c r="P28">
        <v>143641</v>
      </c>
    </row>
    <row r="29" spans="1:16" x14ac:dyDescent="0.35">
      <c r="A29">
        <v>28</v>
      </c>
      <c r="B29">
        <v>515754</v>
      </c>
      <c r="C29" t="s">
        <v>31</v>
      </c>
      <c r="D29" t="s">
        <v>16</v>
      </c>
      <c r="E29" t="s">
        <v>41</v>
      </c>
      <c r="F29">
        <v>2020</v>
      </c>
      <c r="G29" t="s">
        <v>45</v>
      </c>
      <c r="H29" t="s">
        <v>19</v>
      </c>
      <c r="I29" t="s">
        <v>34</v>
      </c>
      <c r="J29" t="s">
        <v>21</v>
      </c>
      <c r="K29">
        <v>0.98</v>
      </c>
      <c r="L29" t="s">
        <v>38</v>
      </c>
      <c r="M29" t="s">
        <v>19</v>
      </c>
      <c r="N29">
        <v>405198</v>
      </c>
      <c r="O29">
        <v>515754</v>
      </c>
      <c r="P29">
        <v>110556</v>
      </c>
    </row>
    <row r="30" spans="1:16" x14ac:dyDescent="0.35">
      <c r="A30">
        <v>29</v>
      </c>
      <c r="B30">
        <v>592872</v>
      </c>
      <c r="C30" t="s">
        <v>31</v>
      </c>
      <c r="D30" t="s">
        <v>16</v>
      </c>
      <c r="E30" t="s">
        <v>39</v>
      </c>
      <c r="F30">
        <v>2024</v>
      </c>
      <c r="G30" t="s">
        <v>45</v>
      </c>
      <c r="H30" t="s">
        <v>19</v>
      </c>
      <c r="I30" t="s">
        <v>40</v>
      </c>
      <c r="J30" t="s">
        <v>26</v>
      </c>
      <c r="K30">
        <v>1</v>
      </c>
      <c r="L30" t="s">
        <v>35</v>
      </c>
      <c r="M30" t="s">
        <v>43</v>
      </c>
      <c r="N30">
        <v>373161</v>
      </c>
      <c r="O30">
        <v>592872</v>
      </c>
      <c r="P30">
        <v>219711</v>
      </c>
    </row>
    <row r="31" spans="1:16" x14ac:dyDescent="0.35">
      <c r="A31">
        <v>30</v>
      </c>
      <c r="B31">
        <v>1073899</v>
      </c>
      <c r="C31" t="s">
        <v>28</v>
      </c>
      <c r="D31" t="s">
        <v>16</v>
      </c>
      <c r="E31" t="s">
        <v>24</v>
      </c>
      <c r="F31">
        <v>2023</v>
      </c>
      <c r="G31" t="s">
        <v>42</v>
      </c>
      <c r="H31" t="s">
        <v>19</v>
      </c>
      <c r="I31" t="s">
        <v>40</v>
      </c>
      <c r="J31" t="s">
        <v>47</v>
      </c>
      <c r="K31">
        <v>0.98</v>
      </c>
      <c r="L31" t="s">
        <v>22</v>
      </c>
      <c r="M31" t="s">
        <v>43</v>
      </c>
      <c r="N31">
        <v>853699</v>
      </c>
      <c r="O31">
        <v>1073899</v>
      </c>
      <c r="P31">
        <v>220200</v>
      </c>
    </row>
    <row r="32" spans="1:16" x14ac:dyDescent="0.35">
      <c r="A32">
        <v>31</v>
      </c>
      <c r="B32">
        <v>581296</v>
      </c>
      <c r="C32" t="s">
        <v>23</v>
      </c>
      <c r="D32" t="s">
        <v>16</v>
      </c>
      <c r="E32" t="s">
        <v>17</v>
      </c>
      <c r="F32">
        <v>2019</v>
      </c>
      <c r="G32" t="s">
        <v>18</v>
      </c>
      <c r="H32" t="s">
        <v>27</v>
      </c>
      <c r="I32" t="s">
        <v>40</v>
      </c>
      <c r="J32" t="s">
        <v>21</v>
      </c>
      <c r="K32">
        <v>0.95</v>
      </c>
      <c r="L32" t="s">
        <v>38</v>
      </c>
      <c r="M32" t="s">
        <v>27</v>
      </c>
      <c r="N32">
        <v>381459</v>
      </c>
      <c r="O32">
        <v>581296</v>
      </c>
      <c r="P32">
        <v>199837</v>
      </c>
    </row>
    <row r="33" spans="1:16" x14ac:dyDescent="0.35">
      <c r="A33">
        <v>32</v>
      </c>
      <c r="B33">
        <v>370985</v>
      </c>
      <c r="C33" t="s">
        <v>15</v>
      </c>
      <c r="D33" t="s">
        <v>16</v>
      </c>
      <c r="E33" t="s">
        <v>44</v>
      </c>
      <c r="F33">
        <v>2024</v>
      </c>
      <c r="G33" t="s">
        <v>42</v>
      </c>
      <c r="H33" t="s">
        <v>43</v>
      </c>
      <c r="I33" t="s">
        <v>40</v>
      </c>
      <c r="J33" t="s">
        <v>21</v>
      </c>
      <c r="K33">
        <v>0.98</v>
      </c>
      <c r="L33" t="s">
        <v>30</v>
      </c>
      <c r="M33" t="s">
        <v>43</v>
      </c>
      <c r="N33">
        <v>253120</v>
      </c>
      <c r="O33">
        <v>370985</v>
      </c>
      <c r="P33">
        <v>117865</v>
      </c>
    </row>
    <row r="34" spans="1:16" x14ac:dyDescent="0.35">
      <c r="A34">
        <v>33</v>
      </c>
      <c r="B34">
        <v>852767</v>
      </c>
      <c r="C34" t="s">
        <v>15</v>
      </c>
      <c r="D34" t="s">
        <v>16</v>
      </c>
      <c r="E34" t="s">
        <v>41</v>
      </c>
      <c r="F34">
        <v>2024</v>
      </c>
      <c r="G34" t="s">
        <v>18</v>
      </c>
      <c r="H34" t="s">
        <v>43</v>
      </c>
      <c r="I34" t="s">
        <v>20</v>
      </c>
      <c r="J34" t="s">
        <v>47</v>
      </c>
      <c r="K34">
        <v>0.9</v>
      </c>
      <c r="L34" t="s">
        <v>38</v>
      </c>
      <c r="M34" t="s">
        <v>27</v>
      </c>
      <c r="N34">
        <v>623457</v>
      </c>
      <c r="O34">
        <v>852767</v>
      </c>
      <c r="P34">
        <v>229310</v>
      </c>
    </row>
    <row r="35" spans="1:16" x14ac:dyDescent="0.35">
      <c r="A35">
        <v>34</v>
      </c>
      <c r="B35">
        <v>480930</v>
      </c>
      <c r="C35" t="s">
        <v>36</v>
      </c>
      <c r="D35" t="s">
        <v>16</v>
      </c>
      <c r="E35" t="s">
        <v>41</v>
      </c>
      <c r="F35">
        <v>2023</v>
      </c>
      <c r="G35" t="s">
        <v>25</v>
      </c>
      <c r="H35" t="s">
        <v>27</v>
      </c>
      <c r="I35" t="s">
        <v>40</v>
      </c>
      <c r="J35" t="s">
        <v>47</v>
      </c>
      <c r="K35">
        <v>0.98</v>
      </c>
      <c r="L35" t="s">
        <v>38</v>
      </c>
      <c r="M35" t="s">
        <v>27</v>
      </c>
      <c r="N35">
        <v>328629</v>
      </c>
      <c r="O35">
        <v>480930</v>
      </c>
      <c r="P35">
        <v>152301</v>
      </c>
    </row>
    <row r="36" spans="1:16" x14ac:dyDescent="0.35">
      <c r="A36">
        <v>35</v>
      </c>
      <c r="B36">
        <v>202079</v>
      </c>
      <c r="C36" t="s">
        <v>28</v>
      </c>
      <c r="D36" t="s">
        <v>16</v>
      </c>
      <c r="E36" t="s">
        <v>41</v>
      </c>
      <c r="F36">
        <v>2024</v>
      </c>
      <c r="G36" t="s">
        <v>49</v>
      </c>
      <c r="H36" t="s">
        <v>43</v>
      </c>
      <c r="I36" t="s">
        <v>37</v>
      </c>
      <c r="J36" t="s">
        <v>26</v>
      </c>
      <c r="K36">
        <v>0.9</v>
      </c>
      <c r="L36" t="s">
        <v>30</v>
      </c>
      <c r="M36" t="s">
        <v>19</v>
      </c>
      <c r="N36">
        <v>160010</v>
      </c>
      <c r="O36">
        <v>202079</v>
      </c>
      <c r="P36">
        <v>42069</v>
      </c>
    </row>
    <row r="37" spans="1:16" x14ac:dyDescent="0.35">
      <c r="A37">
        <v>36</v>
      </c>
      <c r="B37">
        <v>933341</v>
      </c>
      <c r="C37" t="s">
        <v>28</v>
      </c>
      <c r="D37" t="s">
        <v>16</v>
      </c>
      <c r="E37" t="s">
        <v>39</v>
      </c>
      <c r="F37">
        <v>2020</v>
      </c>
      <c r="G37" t="s">
        <v>29</v>
      </c>
      <c r="H37" t="s">
        <v>33</v>
      </c>
      <c r="I37" t="s">
        <v>20</v>
      </c>
      <c r="J37" t="s">
        <v>21</v>
      </c>
      <c r="K37">
        <v>0.98</v>
      </c>
      <c r="L37" t="s">
        <v>35</v>
      </c>
      <c r="M37" t="s">
        <v>43</v>
      </c>
      <c r="N37">
        <v>588124</v>
      </c>
      <c r="O37">
        <v>933341</v>
      </c>
      <c r="P37">
        <v>345217</v>
      </c>
    </row>
    <row r="38" spans="1:16" x14ac:dyDescent="0.35">
      <c r="A38">
        <v>37</v>
      </c>
      <c r="B38">
        <v>226558</v>
      </c>
      <c r="C38" t="s">
        <v>28</v>
      </c>
      <c r="D38" t="s">
        <v>16</v>
      </c>
      <c r="E38" t="s">
        <v>17</v>
      </c>
      <c r="F38">
        <v>2019</v>
      </c>
      <c r="G38" t="s">
        <v>42</v>
      </c>
      <c r="H38" t="s">
        <v>19</v>
      </c>
      <c r="I38" t="s">
        <v>48</v>
      </c>
      <c r="J38" t="s">
        <v>46</v>
      </c>
      <c r="K38">
        <v>0.98</v>
      </c>
      <c r="L38" t="s">
        <v>30</v>
      </c>
      <c r="M38" t="s">
        <v>27</v>
      </c>
      <c r="N38">
        <v>191454</v>
      </c>
      <c r="O38">
        <v>226558</v>
      </c>
      <c r="P38">
        <v>35104</v>
      </c>
    </row>
    <row r="39" spans="1:16" x14ac:dyDescent="0.35">
      <c r="A39">
        <v>38</v>
      </c>
      <c r="B39">
        <v>948694</v>
      </c>
      <c r="C39" t="s">
        <v>36</v>
      </c>
      <c r="D39" t="s">
        <v>16</v>
      </c>
      <c r="E39" t="s">
        <v>41</v>
      </c>
      <c r="F39">
        <v>2021</v>
      </c>
      <c r="G39" t="s">
        <v>18</v>
      </c>
      <c r="H39" t="s">
        <v>27</v>
      </c>
      <c r="I39" t="s">
        <v>34</v>
      </c>
      <c r="J39" t="s">
        <v>26</v>
      </c>
      <c r="K39">
        <v>0.9</v>
      </c>
      <c r="L39" t="s">
        <v>22</v>
      </c>
      <c r="M39" t="s">
        <v>27</v>
      </c>
      <c r="N39">
        <v>717771</v>
      </c>
      <c r="O39">
        <v>948694</v>
      </c>
      <c r="P39">
        <v>230923</v>
      </c>
    </row>
    <row r="40" spans="1:16" x14ac:dyDescent="0.35">
      <c r="A40">
        <v>39</v>
      </c>
      <c r="B40">
        <v>537691</v>
      </c>
      <c r="C40" t="s">
        <v>36</v>
      </c>
      <c r="D40" t="s">
        <v>16</v>
      </c>
      <c r="E40" t="s">
        <v>41</v>
      </c>
      <c r="F40">
        <v>2022</v>
      </c>
      <c r="G40" t="s">
        <v>25</v>
      </c>
      <c r="H40" t="s">
        <v>19</v>
      </c>
      <c r="I40" t="s">
        <v>34</v>
      </c>
      <c r="J40" t="s">
        <v>26</v>
      </c>
      <c r="K40">
        <v>0.98</v>
      </c>
      <c r="L40" t="s">
        <v>38</v>
      </c>
      <c r="M40" t="s">
        <v>43</v>
      </c>
      <c r="N40">
        <v>405194</v>
      </c>
      <c r="O40">
        <v>537691</v>
      </c>
      <c r="P40">
        <v>132497</v>
      </c>
    </row>
    <row r="41" spans="1:16" x14ac:dyDescent="0.35">
      <c r="A41">
        <v>40</v>
      </c>
      <c r="B41">
        <v>830816</v>
      </c>
      <c r="C41" t="s">
        <v>28</v>
      </c>
      <c r="D41" t="s">
        <v>16</v>
      </c>
      <c r="E41" t="s">
        <v>17</v>
      </c>
      <c r="F41">
        <v>2022</v>
      </c>
      <c r="G41" t="s">
        <v>45</v>
      </c>
      <c r="H41" t="s">
        <v>43</v>
      </c>
      <c r="I41" t="s">
        <v>34</v>
      </c>
      <c r="J41" t="s">
        <v>46</v>
      </c>
      <c r="K41">
        <v>0.98</v>
      </c>
      <c r="L41" t="s">
        <v>30</v>
      </c>
      <c r="M41" t="s">
        <v>27</v>
      </c>
      <c r="N41">
        <v>705192</v>
      </c>
      <c r="O41">
        <v>830816</v>
      </c>
      <c r="P41">
        <v>125624</v>
      </c>
    </row>
    <row r="42" spans="1:16" x14ac:dyDescent="0.35">
      <c r="A42">
        <v>41</v>
      </c>
      <c r="B42">
        <v>732138</v>
      </c>
      <c r="C42" t="s">
        <v>31</v>
      </c>
      <c r="D42" t="s">
        <v>16</v>
      </c>
      <c r="E42" t="s">
        <v>17</v>
      </c>
      <c r="F42">
        <v>2024</v>
      </c>
      <c r="G42" t="s">
        <v>32</v>
      </c>
      <c r="H42" t="s">
        <v>43</v>
      </c>
      <c r="I42" t="s">
        <v>20</v>
      </c>
      <c r="J42" t="s">
        <v>46</v>
      </c>
      <c r="K42">
        <v>1</v>
      </c>
      <c r="L42" t="s">
        <v>30</v>
      </c>
      <c r="M42" t="s">
        <v>27</v>
      </c>
      <c r="N42">
        <v>580050</v>
      </c>
      <c r="O42">
        <v>732138</v>
      </c>
      <c r="P42">
        <v>152088</v>
      </c>
    </row>
    <row r="43" spans="1:16" x14ac:dyDescent="0.35">
      <c r="A43">
        <v>42</v>
      </c>
      <c r="B43">
        <v>1061729</v>
      </c>
      <c r="C43" t="s">
        <v>23</v>
      </c>
      <c r="D43" t="s">
        <v>16</v>
      </c>
      <c r="E43" t="s">
        <v>44</v>
      </c>
      <c r="F43">
        <v>2022</v>
      </c>
      <c r="G43" t="s">
        <v>32</v>
      </c>
      <c r="H43" t="s">
        <v>33</v>
      </c>
      <c r="I43" t="s">
        <v>34</v>
      </c>
      <c r="J43" t="s">
        <v>47</v>
      </c>
      <c r="K43">
        <v>0.95</v>
      </c>
      <c r="L43" t="s">
        <v>30</v>
      </c>
      <c r="M43" t="s">
        <v>27</v>
      </c>
      <c r="N43">
        <v>952899</v>
      </c>
      <c r="O43">
        <v>1061729</v>
      </c>
      <c r="P43">
        <v>108830</v>
      </c>
    </row>
    <row r="44" spans="1:16" x14ac:dyDescent="0.35">
      <c r="A44">
        <v>43</v>
      </c>
      <c r="B44">
        <v>1171825</v>
      </c>
      <c r="C44" t="s">
        <v>28</v>
      </c>
      <c r="D44" t="s">
        <v>16</v>
      </c>
      <c r="E44" t="s">
        <v>24</v>
      </c>
      <c r="F44">
        <v>2021</v>
      </c>
      <c r="G44" t="s">
        <v>45</v>
      </c>
      <c r="H44" t="s">
        <v>33</v>
      </c>
      <c r="I44" t="s">
        <v>34</v>
      </c>
      <c r="J44" t="s">
        <v>46</v>
      </c>
      <c r="K44">
        <v>1</v>
      </c>
      <c r="L44" t="s">
        <v>38</v>
      </c>
      <c r="M44" t="s">
        <v>19</v>
      </c>
      <c r="N44">
        <v>983830</v>
      </c>
      <c r="O44">
        <v>1171825</v>
      </c>
      <c r="P44">
        <v>187995</v>
      </c>
    </row>
    <row r="45" spans="1:16" x14ac:dyDescent="0.35">
      <c r="A45">
        <v>44</v>
      </c>
      <c r="B45">
        <v>302747</v>
      </c>
      <c r="C45" t="s">
        <v>28</v>
      </c>
      <c r="D45" t="s">
        <v>16</v>
      </c>
      <c r="E45" t="s">
        <v>17</v>
      </c>
      <c r="F45">
        <v>2019</v>
      </c>
      <c r="G45" t="s">
        <v>29</v>
      </c>
      <c r="H45" t="s">
        <v>27</v>
      </c>
      <c r="I45" t="s">
        <v>34</v>
      </c>
      <c r="J45" t="s">
        <v>26</v>
      </c>
      <c r="K45">
        <v>0.95</v>
      </c>
      <c r="L45" t="s">
        <v>22</v>
      </c>
      <c r="M45" t="s">
        <v>19</v>
      </c>
      <c r="N45">
        <v>257008</v>
      </c>
      <c r="O45">
        <v>302747</v>
      </c>
      <c r="P45">
        <v>45739</v>
      </c>
    </row>
    <row r="46" spans="1:16" x14ac:dyDescent="0.35">
      <c r="A46">
        <v>45</v>
      </c>
      <c r="B46">
        <v>637737</v>
      </c>
      <c r="C46" t="s">
        <v>23</v>
      </c>
      <c r="D46" t="s">
        <v>16</v>
      </c>
      <c r="E46" t="s">
        <v>24</v>
      </c>
      <c r="F46">
        <v>2024</v>
      </c>
      <c r="G46" t="s">
        <v>18</v>
      </c>
      <c r="H46" t="s">
        <v>43</v>
      </c>
      <c r="I46" t="s">
        <v>48</v>
      </c>
      <c r="J46" t="s">
        <v>21</v>
      </c>
      <c r="K46">
        <v>0.98</v>
      </c>
      <c r="L46" t="s">
        <v>38</v>
      </c>
      <c r="M46" t="s">
        <v>43</v>
      </c>
      <c r="N46">
        <v>388519</v>
      </c>
      <c r="O46">
        <v>637737</v>
      </c>
      <c r="P46">
        <v>249218</v>
      </c>
    </row>
    <row r="47" spans="1:16" x14ac:dyDescent="0.35">
      <c r="A47">
        <v>46</v>
      </c>
      <c r="B47">
        <v>288918</v>
      </c>
      <c r="C47" t="s">
        <v>31</v>
      </c>
      <c r="D47" t="s">
        <v>16</v>
      </c>
      <c r="E47" t="s">
        <v>39</v>
      </c>
      <c r="F47">
        <v>2021</v>
      </c>
      <c r="G47" t="s">
        <v>49</v>
      </c>
      <c r="H47" t="s">
        <v>43</v>
      </c>
      <c r="I47" t="s">
        <v>34</v>
      </c>
      <c r="J47" t="s">
        <v>46</v>
      </c>
      <c r="K47">
        <v>0.85</v>
      </c>
      <c r="L47" t="s">
        <v>38</v>
      </c>
      <c r="M47" t="s">
        <v>19</v>
      </c>
      <c r="N47">
        <v>189832</v>
      </c>
      <c r="O47">
        <v>288918</v>
      </c>
      <c r="P47">
        <v>99086</v>
      </c>
    </row>
    <row r="48" spans="1:16" x14ac:dyDescent="0.35">
      <c r="A48">
        <v>47</v>
      </c>
      <c r="B48">
        <v>875265</v>
      </c>
      <c r="C48" t="s">
        <v>36</v>
      </c>
      <c r="D48" t="s">
        <v>16</v>
      </c>
      <c r="E48" t="s">
        <v>41</v>
      </c>
      <c r="F48">
        <v>2020</v>
      </c>
      <c r="G48" t="s">
        <v>29</v>
      </c>
      <c r="H48" t="s">
        <v>27</v>
      </c>
      <c r="I48" t="s">
        <v>34</v>
      </c>
      <c r="J48" t="s">
        <v>26</v>
      </c>
      <c r="K48">
        <v>0.95</v>
      </c>
      <c r="L48" t="s">
        <v>35</v>
      </c>
      <c r="M48" t="s">
        <v>43</v>
      </c>
      <c r="N48">
        <v>573493</v>
      </c>
      <c r="O48">
        <v>875265</v>
      </c>
      <c r="P48">
        <v>301772</v>
      </c>
    </row>
    <row r="49" spans="1:16" x14ac:dyDescent="0.35">
      <c r="A49">
        <v>48</v>
      </c>
      <c r="B49">
        <v>469470</v>
      </c>
      <c r="C49" t="s">
        <v>15</v>
      </c>
      <c r="D49" t="s">
        <v>16</v>
      </c>
      <c r="E49" t="s">
        <v>44</v>
      </c>
      <c r="F49">
        <v>2020</v>
      </c>
      <c r="G49" t="s">
        <v>18</v>
      </c>
      <c r="H49" t="s">
        <v>33</v>
      </c>
      <c r="I49" t="s">
        <v>34</v>
      </c>
      <c r="J49" t="s">
        <v>26</v>
      </c>
      <c r="K49">
        <v>0.85</v>
      </c>
      <c r="L49" t="s">
        <v>22</v>
      </c>
      <c r="M49" t="s">
        <v>27</v>
      </c>
      <c r="N49">
        <v>308209</v>
      </c>
      <c r="O49">
        <v>469470</v>
      </c>
      <c r="P49">
        <v>161261</v>
      </c>
    </row>
    <row r="50" spans="1:16" x14ac:dyDescent="0.35">
      <c r="A50">
        <v>49</v>
      </c>
      <c r="B50">
        <v>466020</v>
      </c>
      <c r="C50" t="s">
        <v>23</v>
      </c>
      <c r="D50" t="s">
        <v>16</v>
      </c>
      <c r="E50" t="s">
        <v>41</v>
      </c>
      <c r="F50">
        <v>2020</v>
      </c>
      <c r="G50" t="s">
        <v>49</v>
      </c>
      <c r="H50" t="s">
        <v>33</v>
      </c>
      <c r="I50" t="s">
        <v>34</v>
      </c>
      <c r="J50" t="s">
        <v>46</v>
      </c>
      <c r="K50">
        <v>0.9</v>
      </c>
      <c r="L50" t="s">
        <v>30</v>
      </c>
      <c r="M50" t="s">
        <v>43</v>
      </c>
      <c r="N50">
        <v>417740</v>
      </c>
      <c r="O50">
        <v>466020</v>
      </c>
      <c r="P50">
        <v>48280</v>
      </c>
    </row>
    <row r="51" spans="1:16" x14ac:dyDescent="0.35">
      <c r="A51">
        <v>50</v>
      </c>
      <c r="B51">
        <v>629765</v>
      </c>
      <c r="C51" t="s">
        <v>36</v>
      </c>
      <c r="D51" t="s">
        <v>16</v>
      </c>
      <c r="E51" t="s">
        <v>41</v>
      </c>
      <c r="F51">
        <v>2019</v>
      </c>
      <c r="G51" t="s">
        <v>29</v>
      </c>
      <c r="H51" t="s">
        <v>33</v>
      </c>
      <c r="I51" t="s">
        <v>34</v>
      </c>
      <c r="J51" t="s">
        <v>21</v>
      </c>
      <c r="K51">
        <v>0.9</v>
      </c>
      <c r="L51" t="s">
        <v>30</v>
      </c>
      <c r="M51" t="s">
        <v>27</v>
      </c>
      <c r="N51">
        <v>423994</v>
      </c>
      <c r="O51">
        <v>629765</v>
      </c>
      <c r="P51">
        <v>205771</v>
      </c>
    </row>
    <row r="52" spans="1:16" x14ac:dyDescent="0.35">
      <c r="A52">
        <v>51</v>
      </c>
      <c r="B52">
        <v>174842</v>
      </c>
      <c r="C52" t="s">
        <v>15</v>
      </c>
      <c r="D52" t="s">
        <v>16</v>
      </c>
      <c r="E52" t="s">
        <v>41</v>
      </c>
      <c r="F52">
        <v>2020</v>
      </c>
      <c r="G52" t="s">
        <v>32</v>
      </c>
      <c r="H52" t="s">
        <v>19</v>
      </c>
      <c r="I52" t="s">
        <v>40</v>
      </c>
      <c r="J52" t="s">
        <v>26</v>
      </c>
      <c r="K52">
        <v>0.95</v>
      </c>
      <c r="L52" t="s">
        <v>30</v>
      </c>
      <c r="M52" t="s">
        <v>27</v>
      </c>
      <c r="N52">
        <v>153547</v>
      </c>
      <c r="O52">
        <v>174842</v>
      </c>
      <c r="P52">
        <v>21295</v>
      </c>
    </row>
    <row r="53" spans="1:16" x14ac:dyDescent="0.35">
      <c r="A53">
        <v>52</v>
      </c>
      <c r="B53">
        <v>761616</v>
      </c>
      <c r="C53" t="s">
        <v>36</v>
      </c>
      <c r="D53" t="s">
        <v>16</v>
      </c>
      <c r="E53" t="s">
        <v>24</v>
      </c>
      <c r="F53">
        <v>2024</v>
      </c>
      <c r="G53" t="s">
        <v>45</v>
      </c>
      <c r="H53" t="s">
        <v>33</v>
      </c>
      <c r="I53" t="s">
        <v>37</v>
      </c>
      <c r="J53" t="s">
        <v>21</v>
      </c>
      <c r="K53">
        <v>0.85</v>
      </c>
      <c r="L53" t="s">
        <v>38</v>
      </c>
      <c r="M53" t="s">
        <v>19</v>
      </c>
      <c r="N53">
        <v>483184</v>
      </c>
      <c r="O53">
        <v>761616</v>
      </c>
      <c r="P53">
        <v>278432</v>
      </c>
    </row>
    <row r="54" spans="1:16" x14ac:dyDescent="0.35">
      <c r="A54">
        <v>53</v>
      </c>
      <c r="B54">
        <v>546729</v>
      </c>
      <c r="C54" t="s">
        <v>36</v>
      </c>
      <c r="D54" t="s">
        <v>16</v>
      </c>
      <c r="E54" t="s">
        <v>17</v>
      </c>
      <c r="F54">
        <v>2020</v>
      </c>
      <c r="G54" t="s">
        <v>42</v>
      </c>
      <c r="H54" t="s">
        <v>27</v>
      </c>
      <c r="I54" t="s">
        <v>48</v>
      </c>
      <c r="J54" t="s">
        <v>47</v>
      </c>
      <c r="K54">
        <v>1</v>
      </c>
      <c r="L54" t="s">
        <v>30</v>
      </c>
      <c r="M54" t="s">
        <v>43</v>
      </c>
      <c r="N54">
        <v>470022</v>
      </c>
      <c r="O54">
        <v>546729</v>
      </c>
      <c r="P54">
        <v>76707</v>
      </c>
    </row>
    <row r="55" spans="1:16" x14ac:dyDescent="0.35">
      <c r="A55">
        <v>54</v>
      </c>
      <c r="B55">
        <v>1173922</v>
      </c>
      <c r="C55" t="s">
        <v>28</v>
      </c>
      <c r="D55" t="s">
        <v>16</v>
      </c>
      <c r="E55" t="s">
        <v>17</v>
      </c>
      <c r="F55">
        <v>2023</v>
      </c>
      <c r="G55" t="s">
        <v>18</v>
      </c>
      <c r="H55" t="s">
        <v>19</v>
      </c>
      <c r="I55" t="s">
        <v>48</v>
      </c>
      <c r="J55" t="s">
        <v>47</v>
      </c>
      <c r="K55">
        <v>0.98</v>
      </c>
      <c r="L55" t="s">
        <v>38</v>
      </c>
      <c r="M55" t="s">
        <v>43</v>
      </c>
      <c r="N55">
        <v>824454</v>
      </c>
      <c r="O55">
        <v>1173922</v>
      </c>
      <c r="P55">
        <v>349468</v>
      </c>
    </row>
    <row r="56" spans="1:16" x14ac:dyDescent="0.35">
      <c r="A56">
        <v>55</v>
      </c>
      <c r="B56">
        <v>469143</v>
      </c>
      <c r="C56" t="s">
        <v>15</v>
      </c>
      <c r="D56" t="s">
        <v>16</v>
      </c>
      <c r="E56" t="s">
        <v>17</v>
      </c>
      <c r="F56">
        <v>2021</v>
      </c>
      <c r="G56" t="s">
        <v>25</v>
      </c>
      <c r="H56" t="s">
        <v>27</v>
      </c>
      <c r="I56" t="s">
        <v>37</v>
      </c>
      <c r="J56" t="s">
        <v>46</v>
      </c>
      <c r="K56">
        <v>0.95</v>
      </c>
      <c r="L56" t="s">
        <v>22</v>
      </c>
      <c r="M56" t="s">
        <v>19</v>
      </c>
      <c r="N56">
        <v>395186</v>
      </c>
      <c r="O56">
        <v>469143</v>
      </c>
      <c r="P56">
        <v>73957</v>
      </c>
    </row>
    <row r="57" spans="1:16" x14ac:dyDescent="0.35">
      <c r="A57">
        <v>56</v>
      </c>
      <c r="B57">
        <v>873450</v>
      </c>
      <c r="C57" t="s">
        <v>31</v>
      </c>
      <c r="D57" t="s">
        <v>16</v>
      </c>
      <c r="E57" t="s">
        <v>17</v>
      </c>
      <c r="F57">
        <v>2019</v>
      </c>
      <c r="G57" t="s">
        <v>25</v>
      </c>
      <c r="H57" t="s">
        <v>27</v>
      </c>
      <c r="I57" t="s">
        <v>34</v>
      </c>
      <c r="J57" t="s">
        <v>21</v>
      </c>
      <c r="K57">
        <v>0.85</v>
      </c>
      <c r="L57" t="s">
        <v>38</v>
      </c>
      <c r="M57" t="s">
        <v>19</v>
      </c>
      <c r="N57">
        <v>747846</v>
      </c>
      <c r="O57">
        <v>873450</v>
      </c>
      <c r="P57">
        <v>125604</v>
      </c>
    </row>
    <row r="58" spans="1:16" x14ac:dyDescent="0.35">
      <c r="A58">
        <v>57</v>
      </c>
      <c r="B58">
        <v>659936</v>
      </c>
      <c r="C58" t="s">
        <v>23</v>
      </c>
      <c r="D58" t="s">
        <v>16</v>
      </c>
      <c r="E58" t="s">
        <v>39</v>
      </c>
      <c r="F58">
        <v>2022</v>
      </c>
      <c r="G58" t="s">
        <v>25</v>
      </c>
      <c r="H58" t="s">
        <v>33</v>
      </c>
      <c r="I58" t="s">
        <v>48</v>
      </c>
      <c r="J58" t="s">
        <v>47</v>
      </c>
      <c r="K58">
        <v>0.85</v>
      </c>
      <c r="L58" t="s">
        <v>38</v>
      </c>
      <c r="M58" t="s">
        <v>19</v>
      </c>
      <c r="N58">
        <v>541063</v>
      </c>
      <c r="O58">
        <v>659936</v>
      </c>
      <c r="P58">
        <v>118873</v>
      </c>
    </row>
    <row r="59" spans="1:16" x14ac:dyDescent="0.35">
      <c r="A59">
        <v>58</v>
      </c>
      <c r="B59">
        <v>865440</v>
      </c>
      <c r="C59" t="s">
        <v>28</v>
      </c>
      <c r="D59" t="s">
        <v>16</v>
      </c>
      <c r="E59" t="s">
        <v>41</v>
      </c>
      <c r="F59">
        <v>2021</v>
      </c>
      <c r="G59" t="s">
        <v>29</v>
      </c>
      <c r="H59" t="s">
        <v>19</v>
      </c>
      <c r="I59" t="s">
        <v>37</v>
      </c>
      <c r="J59" t="s">
        <v>26</v>
      </c>
      <c r="K59">
        <v>0.95</v>
      </c>
      <c r="L59" t="s">
        <v>35</v>
      </c>
      <c r="M59" t="s">
        <v>27</v>
      </c>
      <c r="N59">
        <v>766361</v>
      </c>
      <c r="O59">
        <v>865440</v>
      </c>
      <c r="P59">
        <v>99079</v>
      </c>
    </row>
    <row r="60" spans="1:16" x14ac:dyDescent="0.35">
      <c r="A60">
        <v>59</v>
      </c>
      <c r="B60">
        <v>289714</v>
      </c>
      <c r="C60" t="s">
        <v>15</v>
      </c>
      <c r="D60" t="s">
        <v>16</v>
      </c>
      <c r="E60" t="s">
        <v>39</v>
      </c>
      <c r="F60">
        <v>2021</v>
      </c>
      <c r="G60" t="s">
        <v>49</v>
      </c>
      <c r="H60" t="s">
        <v>27</v>
      </c>
      <c r="I60" t="s">
        <v>20</v>
      </c>
      <c r="J60" t="s">
        <v>26</v>
      </c>
      <c r="K60">
        <v>0.98</v>
      </c>
      <c r="L60" t="s">
        <v>22</v>
      </c>
      <c r="M60" t="s">
        <v>43</v>
      </c>
      <c r="N60">
        <v>211920</v>
      </c>
      <c r="O60">
        <v>289714</v>
      </c>
      <c r="P60">
        <v>77794</v>
      </c>
    </row>
    <row r="61" spans="1:16" x14ac:dyDescent="0.35">
      <c r="A61">
        <v>60</v>
      </c>
      <c r="B61">
        <v>1128078</v>
      </c>
      <c r="C61" t="s">
        <v>36</v>
      </c>
      <c r="D61" t="s">
        <v>16</v>
      </c>
      <c r="E61" t="s">
        <v>17</v>
      </c>
      <c r="F61">
        <v>2022</v>
      </c>
      <c r="G61" t="s">
        <v>49</v>
      </c>
      <c r="H61" t="s">
        <v>27</v>
      </c>
      <c r="I61" t="s">
        <v>20</v>
      </c>
      <c r="J61" t="s">
        <v>46</v>
      </c>
      <c r="K61">
        <v>0.95</v>
      </c>
      <c r="L61" t="s">
        <v>35</v>
      </c>
      <c r="M61" t="s">
        <v>27</v>
      </c>
      <c r="N61">
        <v>794056</v>
      </c>
      <c r="O61">
        <v>1128078</v>
      </c>
      <c r="P61">
        <v>334022</v>
      </c>
    </row>
    <row r="62" spans="1:16" x14ac:dyDescent="0.35">
      <c r="A62">
        <v>61</v>
      </c>
      <c r="B62">
        <v>882805</v>
      </c>
      <c r="C62" t="s">
        <v>15</v>
      </c>
      <c r="D62" t="s">
        <v>16</v>
      </c>
      <c r="E62" t="s">
        <v>17</v>
      </c>
      <c r="F62">
        <v>2024</v>
      </c>
      <c r="G62" t="s">
        <v>49</v>
      </c>
      <c r="H62" t="s">
        <v>27</v>
      </c>
      <c r="I62" t="s">
        <v>20</v>
      </c>
      <c r="J62" t="s">
        <v>47</v>
      </c>
      <c r="K62">
        <v>0.98</v>
      </c>
      <c r="L62" t="s">
        <v>22</v>
      </c>
      <c r="M62" t="s">
        <v>43</v>
      </c>
      <c r="N62">
        <v>623680</v>
      </c>
      <c r="O62">
        <v>882805</v>
      </c>
      <c r="P62">
        <v>259125</v>
      </c>
    </row>
    <row r="63" spans="1:16" x14ac:dyDescent="0.35">
      <c r="A63">
        <v>62</v>
      </c>
      <c r="B63">
        <v>440428</v>
      </c>
      <c r="C63" t="s">
        <v>23</v>
      </c>
      <c r="D63" t="s">
        <v>16</v>
      </c>
      <c r="E63" t="s">
        <v>44</v>
      </c>
      <c r="F63">
        <v>2024</v>
      </c>
      <c r="G63" t="s">
        <v>25</v>
      </c>
      <c r="H63" t="s">
        <v>33</v>
      </c>
      <c r="I63" t="s">
        <v>48</v>
      </c>
      <c r="J63" t="s">
        <v>46</v>
      </c>
      <c r="K63">
        <v>0.9</v>
      </c>
      <c r="L63" t="s">
        <v>30</v>
      </c>
      <c r="M63" t="s">
        <v>43</v>
      </c>
      <c r="N63">
        <v>360972</v>
      </c>
      <c r="O63">
        <v>440428</v>
      </c>
      <c r="P63">
        <v>79456</v>
      </c>
    </row>
    <row r="64" spans="1:16" x14ac:dyDescent="0.35">
      <c r="A64">
        <v>63</v>
      </c>
      <c r="B64">
        <v>405613</v>
      </c>
      <c r="C64" t="s">
        <v>36</v>
      </c>
      <c r="D64" t="s">
        <v>16</v>
      </c>
      <c r="E64" t="s">
        <v>41</v>
      </c>
      <c r="F64">
        <v>2023</v>
      </c>
      <c r="G64" t="s">
        <v>49</v>
      </c>
      <c r="H64" t="s">
        <v>27</v>
      </c>
      <c r="I64" t="s">
        <v>20</v>
      </c>
      <c r="J64" t="s">
        <v>21</v>
      </c>
      <c r="K64">
        <v>1</v>
      </c>
      <c r="L64" t="s">
        <v>35</v>
      </c>
      <c r="M64" t="s">
        <v>43</v>
      </c>
      <c r="N64">
        <v>326130</v>
      </c>
      <c r="O64">
        <v>405613</v>
      </c>
      <c r="P64">
        <v>79483</v>
      </c>
    </row>
    <row r="65" spans="1:16" x14ac:dyDescent="0.35">
      <c r="A65">
        <v>64</v>
      </c>
      <c r="B65">
        <v>689705</v>
      </c>
      <c r="C65" t="s">
        <v>28</v>
      </c>
      <c r="D65" t="s">
        <v>16</v>
      </c>
      <c r="E65" t="s">
        <v>41</v>
      </c>
      <c r="F65">
        <v>2022</v>
      </c>
      <c r="G65" t="s">
        <v>25</v>
      </c>
      <c r="H65" t="s">
        <v>27</v>
      </c>
      <c r="I65" t="s">
        <v>37</v>
      </c>
      <c r="J65" t="s">
        <v>46</v>
      </c>
      <c r="K65">
        <v>0.85</v>
      </c>
      <c r="L65" t="s">
        <v>30</v>
      </c>
      <c r="M65" t="s">
        <v>27</v>
      </c>
      <c r="N65">
        <v>431625</v>
      </c>
      <c r="O65">
        <v>689705</v>
      </c>
      <c r="P65">
        <v>258080</v>
      </c>
    </row>
    <row r="66" spans="1:16" x14ac:dyDescent="0.35">
      <c r="A66">
        <v>65</v>
      </c>
      <c r="B66">
        <v>277517</v>
      </c>
      <c r="C66" t="s">
        <v>23</v>
      </c>
      <c r="D66" t="s">
        <v>16</v>
      </c>
      <c r="E66" t="s">
        <v>39</v>
      </c>
      <c r="F66">
        <v>2023</v>
      </c>
      <c r="G66" t="s">
        <v>49</v>
      </c>
      <c r="H66" t="s">
        <v>43</v>
      </c>
      <c r="I66" t="s">
        <v>34</v>
      </c>
      <c r="J66" t="s">
        <v>47</v>
      </c>
      <c r="K66">
        <v>0.9</v>
      </c>
      <c r="L66" t="s">
        <v>30</v>
      </c>
      <c r="M66" t="s">
        <v>27</v>
      </c>
      <c r="N66">
        <v>172899</v>
      </c>
      <c r="O66">
        <v>277517</v>
      </c>
      <c r="P66">
        <v>104618</v>
      </c>
    </row>
    <row r="67" spans="1:16" x14ac:dyDescent="0.35">
      <c r="A67">
        <v>66</v>
      </c>
      <c r="B67">
        <v>1066766</v>
      </c>
      <c r="C67" t="s">
        <v>28</v>
      </c>
      <c r="D67" t="s">
        <v>16</v>
      </c>
      <c r="E67" t="s">
        <v>41</v>
      </c>
      <c r="F67">
        <v>2021</v>
      </c>
      <c r="G67" t="s">
        <v>25</v>
      </c>
      <c r="H67" t="s">
        <v>33</v>
      </c>
      <c r="I67" t="s">
        <v>34</v>
      </c>
      <c r="J67" t="s">
        <v>26</v>
      </c>
      <c r="K67">
        <v>1</v>
      </c>
      <c r="L67" t="s">
        <v>30</v>
      </c>
      <c r="M67" t="s">
        <v>19</v>
      </c>
      <c r="N67">
        <v>727012</v>
      </c>
      <c r="O67">
        <v>1066766</v>
      </c>
      <c r="P67">
        <v>339754</v>
      </c>
    </row>
    <row r="68" spans="1:16" x14ac:dyDescent="0.35">
      <c r="A68">
        <v>67</v>
      </c>
      <c r="B68">
        <v>243975</v>
      </c>
      <c r="C68" t="s">
        <v>15</v>
      </c>
      <c r="D68" t="s">
        <v>16</v>
      </c>
      <c r="E68" t="s">
        <v>44</v>
      </c>
      <c r="F68">
        <v>2024</v>
      </c>
      <c r="G68" t="s">
        <v>18</v>
      </c>
      <c r="H68" t="s">
        <v>43</v>
      </c>
      <c r="I68" t="s">
        <v>20</v>
      </c>
      <c r="J68" t="s">
        <v>26</v>
      </c>
      <c r="K68">
        <v>0.98</v>
      </c>
      <c r="L68" t="s">
        <v>35</v>
      </c>
      <c r="M68" t="s">
        <v>43</v>
      </c>
      <c r="N68">
        <v>210255</v>
      </c>
      <c r="O68">
        <v>243975</v>
      </c>
      <c r="P68">
        <v>33720</v>
      </c>
    </row>
    <row r="69" spans="1:16" x14ac:dyDescent="0.35">
      <c r="A69">
        <v>68</v>
      </c>
      <c r="B69">
        <v>441395</v>
      </c>
      <c r="C69" t="s">
        <v>15</v>
      </c>
      <c r="D69" t="s">
        <v>16</v>
      </c>
      <c r="E69" t="s">
        <v>24</v>
      </c>
      <c r="F69">
        <v>2023</v>
      </c>
      <c r="G69" t="s">
        <v>42</v>
      </c>
      <c r="H69" t="s">
        <v>43</v>
      </c>
      <c r="I69" t="s">
        <v>37</v>
      </c>
      <c r="J69" t="s">
        <v>21</v>
      </c>
      <c r="K69">
        <v>0.9</v>
      </c>
      <c r="L69" t="s">
        <v>38</v>
      </c>
      <c r="M69" t="s">
        <v>43</v>
      </c>
      <c r="N69">
        <v>341681</v>
      </c>
      <c r="O69">
        <v>441395</v>
      </c>
      <c r="P69">
        <v>99714</v>
      </c>
    </row>
    <row r="70" spans="1:16" x14ac:dyDescent="0.35">
      <c r="A70">
        <v>69</v>
      </c>
      <c r="B70">
        <v>1196727</v>
      </c>
      <c r="C70" t="s">
        <v>15</v>
      </c>
      <c r="D70" t="s">
        <v>16</v>
      </c>
      <c r="E70" t="s">
        <v>41</v>
      </c>
      <c r="F70">
        <v>2022</v>
      </c>
      <c r="G70" t="s">
        <v>49</v>
      </c>
      <c r="H70" t="s">
        <v>43</v>
      </c>
      <c r="I70" t="s">
        <v>20</v>
      </c>
      <c r="J70" t="s">
        <v>21</v>
      </c>
      <c r="K70">
        <v>0.9</v>
      </c>
      <c r="L70" t="s">
        <v>35</v>
      </c>
      <c r="M70" t="s">
        <v>43</v>
      </c>
      <c r="N70">
        <v>718223</v>
      </c>
      <c r="O70">
        <v>1196727</v>
      </c>
      <c r="P70">
        <v>478504</v>
      </c>
    </row>
    <row r="71" spans="1:16" x14ac:dyDescent="0.35">
      <c r="A71">
        <v>70</v>
      </c>
      <c r="B71">
        <v>512217</v>
      </c>
      <c r="C71" t="s">
        <v>31</v>
      </c>
      <c r="D71" t="s">
        <v>16</v>
      </c>
      <c r="E71" t="s">
        <v>17</v>
      </c>
      <c r="F71">
        <v>2021</v>
      </c>
      <c r="G71" t="s">
        <v>25</v>
      </c>
      <c r="H71" t="s">
        <v>43</v>
      </c>
      <c r="I71" t="s">
        <v>40</v>
      </c>
      <c r="J71" t="s">
        <v>47</v>
      </c>
      <c r="K71">
        <v>0.95</v>
      </c>
      <c r="L71" t="s">
        <v>35</v>
      </c>
      <c r="M71" t="s">
        <v>19</v>
      </c>
      <c r="N71">
        <v>317633</v>
      </c>
      <c r="O71">
        <v>512217</v>
      </c>
      <c r="P71">
        <v>194584</v>
      </c>
    </row>
    <row r="72" spans="1:16" x14ac:dyDescent="0.35">
      <c r="A72">
        <v>71</v>
      </c>
      <c r="B72">
        <v>228443</v>
      </c>
      <c r="C72" t="s">
        <v>23</v>
      </c>
      <c r="D72" t="s">
        <v>16</v>
      </c>
      <c r="E72" t="s">
        <v>39</v>
      </c>
      <c r="F72">
        <v>2024</v>
      </c>
      <c r="G72" t="s">
        <v>45</v>
      </c>
      <c r="H72" t="s">
        <v>43</v>
      </c>
      <c r="I72" t="s">
        <v>40</v>
      </c>
      <c r="J72" t="s">
        <v>47</v>
      </c>
      <c r="K72">
        <v>0.98</v>
      </c>
      <c r="L72" t="s">
        <v>35</v>
      </c>
      <c r="M72" t="s">
        <v>19</v>
      </c>
      <c r="N72">
        <v>187475</v>
      </c>
      <c r="O72">
        <v>228443</v>
      </c>
      <c r="P72">
        <v>40968</v>
      </c>
    </row>
    <row r="73" spans="1:16" x14ac:dyDescent="0.35">
      <c r="A73">
        <v>72</v>
      </c>
      <c r="B73">
        <v>241525</v>
      </c>
      <c r="C73" t="s">
        <v>15</v>
      </c>
      <c r="D73" t="s">
        <v>16</v>
      </c>
      <c r="E73" t="s">
        <v>44</v>
      </c>
      <c r="F73">
        <v>2020</v>
      </c>
      <c r="G73" t="s">
        <v>29</v>
      </c>
      <c r="H73" t="s">
        <v>33</v>
      </c>
      <c r="I73" t="s">
        <v>34</v>
      </c>
      <c r="J73" t="s">
        <v>26</v>
      </c>
      <c r="K73">
        <v>0.9</v>
      </c>
      <c r="L73" t="s">
        <v>30</v>
      </c>
      <c r="M73" t="s">
        <v>43</v>
      </c>
      <c r="N73">
        <v>185928</v>
      </c>
      <c r="O73">
        <v>241525</v>
      </c>
      <c r="P73">
        <v>55597</v>
      </c>
    </row>
    <row r="74" spans="1:16" x14ac:dyDescent="0.35">
      <c r="A74">
        <v>73</v>
      </c>
      <c r="B74">
        <v>859904</v>
      </c>
      <c r="C74" t="s">
        <v>31</v>
      </c>
      <c r="D74" t="s">
        <v>16</v>
      </c>
      <c r="E74" t="s">
        <v>41</v>
      </c>
      <c r="F74">
        <v>2020</v>
      </c>
      <c r="G74" t="s">
        <v>32</v>
      </c>
      <c r="H74" t="s">
        <v>33</v>
      </c>
      <c r="I74" t="s">
        <v>40</v>
      </c>
      <c r="J74" t="s">
        <v>46</v>
      </c>
      <c r="K74">
        <v>1</v>
      </c>
      <c r="L74" t="s">
        <v>35</v>
      </c>
      <c r="M74" t="s">
        <v>19</v>
      </c>
      <c r="N74">
        <v>577440</v>
      </c>
      <c r="O74">
        <v>859904</v>
      </c>
      <c r="P74">
        <v>282464</v>
      </c>
    </row>
    <row r="75" spans="1:16" x14ac:dyDescent="0.35">
      <c r="A75">
        <v>74</v>
      </c>
      <c r="B75">
        <v>799497</v>
      </c>
      <c r="C75" t="s">
        <v>15</v>
      </c>
      <c r="D75" t="s">
        <v>16</v>
      </c>
      <c r="E75" t="s">
        <v>41</v>
      </c>
      <c r="F75">
        <v>2024</v>
      </c>
      <c r="G75" t="s">
        <v>29</v>
      </c>
      <c r="H75" t="s">
        <v>33</v>
      </c>
      <c r="I75" t="s">
        <v>40</v>
      </c>
      <c r="J75" t="s">
        <v>21</v>
      </c>
      <c r="K75">
        <v>0.98</v>
      </c>
      <c r="L75" t="s">
        <v>30</v>
      </c>
      <c r="M75" t="s">
        <v>43</v>
      </c>
      <c r="N75">
        <v>662591</v>
      </c>
      <c r="O75">
        <v>799497</v>
      </c>
      <c r="P75">
        <v>136906</v>
      </c>
    </row>
    <row r="76" spans="1:16" x14ac:dyDescent="0.35">
      <c r="A76">
        <v>75</v>
      </c>
      <c r="B76">
        <v>844335</v>
      </c>
      <c r="C76" t="s">
        <v>31</v>
      </c>
      <c r="D76" t="s">
        <v>16</v>
      </c>
      <c r="E76" t="s">
        <v>24</v>
      </c>
      <c r="F76">
        <v>2023</v>
      </c>
      <c r="G76" t="s">
        <v>29</v>
      </c>
      <c r="H76" t="s">
        <v>33</v>
      </c>
      <c r="I76" t="s">
        <v>48</v>
      </c>
      <c r="J76" t="s">
        <v>47</v>
      </c>
      <c r="K76">
        <v>0.9</v>
      </c>
      <c r="L76" t="s">
        <v>35</v>
      </c>
      <c r="M76" t="s">
        <v>19</v>
      </c>
      <c r="N76">
        <v>685979</v>
      </c>
      <c r="O76">
        <v>844335</v>
      </c>
      <c r="P76">
        <v>158356</v>
      </c>
    </row>
    <row r="77" spans="1:16" x14ac:dyDescent="0.35">
      <c r="A77">
        <v>76</v>
      </c>
      <c r="B77">
        <v>745528</v>
      </c>
      <c r="C77" t="s">
        <v>36</v>
      </c>
      <c r="D77" t="s">
        <v>16</v>
      </c>
      <c r="E77" t="s">
        <v>17</v>
      </c>
      <c r="F77">
        <v>2024</v>
      </c>
      <c r="G77" t="s">
        <v>29</v>
      </c>
      <c r="H77" t="s">
        <v>43</v>
      </c>
      <c r="I77" t="s">
        <v>40</v>
      </c>
      <c r="J77" t="s">
        <v>46</v>
      </c>
      <c r="K77">
        <v>0.9</v>
      </c>
      <c r="L77" t="s">
        <v>30</v>
      </c>
      <c r="M77" t="s">
        <v>27</v>
      </c>
      <c r="N77">
        <v>515255</v>
      </c>
      <c r="O77">
        <v>745528</v>
      </c>
      <c r="P77">
        <v>230273</v>
      </c>
    </row>
    <row r="78" spans="1:16" x14ac:dyDescent="0.35">
      <c r="A78">
        <v>77</v>
      </c>
      <c r="B78">
        <v>190357</v>
      </c>
      <c r="C78" t="s">
        <v>15</v>
      </c>
      <c r="D78" t="s">
        <v>16</v>
      </c>
      <c r="E78" t="s">
        <v>44</v>
      </c>
      <c r="F78">
        <v>2019</v>
      </c>
      <c r="G78" t="s">
        <v>49</v>
      </c>
      <c r="H78" t="s">
        <v>19</v>
      </c>
      <c r="I78" t="s">
        <v>37</v>
      </c>
      <c r="J78" t="s">
        <v>46</v>
      </c>
      <c r="K78">
        <v>0.95</v>
      </c>
      <c r="L78" t="s">
        <v>38</v>
      </c>
      <c r="M78" t="s">
        <v>43</v>
      </c>
      <c r="N78">
        <v>118438</v>
      </c>
      <c r="O78">
        <v>190357</v>
      </c>
      <c r="P78">
        <v>71919</v>
      </c>
    </row>
    <row r="79" spans="1:16" x14ac:dyDescent="0.35">
      <c r="A79">
        <v>78</v>
      </c>
      <c r="B79">
        <v>799434</v>
      </c>
      <c r="C79" t="s">
        <v>23</v>
      </c>
      <c r="D79" t="s">
        <v>16</v>
      </c>
      <c r="E79" t="s">
        <v>44</v>
      </c>
      <c r="F79">
        <v>2023</v>
      </c>
      <c r="G79" t="s">
        <v>32</v>
      </c>
      <c r="H79" t="s">
        <v>33</v>
      </c>
      <c r="I79" t="s">
        <v>34</v>
      </c>
      <c r="J79" t="s">
        <v>46</v>
      </c>
      <c r="K79">
        <v>0.85</v>
      </c>
      <c r="L79" t="s">
        <v>30</v>
      </c>
      <c r="M79" t="s">
        <v>43</v>
      </c>
      <c r="N79">
        <v>526435</v>
      </c>
      <c r="O79">
        <v>799434</v>
      </c>
      <c r="P79">
        <v>272999</v>
      </c>
    </row>
    <row r="80" spans="1:16" x14ac:dyDescent="0.35">
      <c r="A80">
        <v>79</v>
      </c>
      <c r="B80">
        <v>932040</v>
      </c>
      <c r="C80" t="s">
        <v>15</v>
      </c>
      <c r="D80" t="s">
        <v>16</v>
      </c>
      <c r="E80" t="s">
        <v>44</v>
      </c>
      <c r="F80">
        <v>2022</v>
      </c>
      <c r="G80" t="s">
        <v>49</v>
      </c>
      <c r="H80" t="s">
        <v>19</v>
      </c>
      <c r="I80" t="s">
        <v>37</v>
      </c>
      <c r="J80" t="s">
        <v>21</v>
      </c>
      <c r="K80">
        <v>0.98</v>
      </c>
      <c r="L80" t="s">
        <v>38</v>
      </c>
      <c r="M80" t="s">
        <v>43</v>
      </c>
      <c r="N80">
        <v>570156</v>
      </c>
      <c r="O80">
        <v>932040</v>
      </c>
      <c r="P80">
        <v>361884</v>
      </c>
    </row>
    <row r="81" spans="1:16" x14ac:dyDescent="0.35">
      <c r="A81">
        <v>80</v>
      </c>
      <c r="B81">
        <v>880577</v>
      </c>
      <c r="C81" t="s">
        <v>28</v>
      </c>
      <c r="D81" t="s">
        <v>16</v>
      </c>
      <c r="E81" t="s">
        <v>41</v>
      </c>
      <c r="F81">
        <v>2019</v>
      </c>
      <c r="G81" t="s">
        <v>32</v>
      </c>
      <c r="H81" t="s">
        <v>33</v>
      </c>
      <c r="I81" t="s">
        <v>20</v>
      </c>
      <c r="J81" t="s">
        <v>21</v>
      </c>
      <c r="K81">
        <v>1</v>
      </c>
      <c r="L81" t="s">
        <v>30</v>
      </c>
      <c r="M81" t="s">
        <v>27</v>
      </c>
      <c r="N81">
        <v>658682</v>
      </c>
      <c r="O81">
        <v>880577</v>
      </c>
      <c r="P81">
        <v>221895</v>
      </c>
    </row>
    <row r="82" spans="1:16" x14ac:dyDescent="0.35">
      <c r="A82">
        <v>81</v>
      </c>
      <c r="B82">
        <v>899428</v>
      </c>
      <c r="C82" t="s">
        <v>31</v>
      </c>
      <c r="D82" t="s">
        <v>16</v>
      </c>
      <c r="E82" t="s">
        <v>41</v>
      </c>
      <c r="F82">
        <v>2021</v>
      </c>
      <c r="G82" t="s">
        <v>32</v>
      </c>
      <c r="H82" t="s">
        <v>33</v>
      </c>
      <c r="I82" t="s">
        <v>48</v>
      </c>
      <c r="J82" t="s">
        <v>21</v>
      </c>
      <c r="K82">
        <v>0.95</v>
      </c>
      <c r="L82" t="s">
        <v>38</v>
      </c>
      <c r="M82" t="s">
        <v>27</v>
      </c>
      <c r="N82">
        <v>772562</v>
      </c>
      <c r="O82">
        <v>899428</v>
      </c>
      <c r="P82">
        <v>126866</v>
      </c>
    </row>
    <row r="83" spans="1:16" x14ac:dyDescent="0.35">
      <c r="A83">
        <v>82</v>
      </c>
      <c r="B83">
        <v>861426</v>
      </c>
      <c r="C83" t="s">
        <v>23</v>
      </c>
      <c r="D83" t="s">
        <v>16</v>
      </c>
      <c r="E83" t="s">
        <v>17</v>
      </c>
      <c r="F83">
        <v>2023</v>
      </c>
      <c r="G83" t="s">
        <v>42</v>
      </c>
      <c r="H83" t="s">
        <v>33</v>
      </c>
      <c r="I83" t="s">
        <v>34</v>
      </c>
      <c r="J83" t="s">
        <v>26</v>
      </c>
      <c r="K83">
        <v>0.98</v>
      </c>
      <c r="L83" t="s">
        <v>30</v>
      </c>
      <c r="M83" t="s">
        <v>19</v>
      </c>
      <c r="N83">
        <v>743325</v>
      </c>
      <c r="O83">
        <v>861426</v>
      </c>
      <c r="P83">
        <v>118101</v>
      </c>
    </row>
    <row r="84" spans="1:16" x14ac:dyDescent="0.35">
      <c r="A84">
        <v>83</v>
      </c>
      <c r="B84">
        <v>528545</v>
      </c>
      <c r="C84" t="s">
        <v>15</v>
      </c>
      <c r="D84" t="s">
        <v>16</v>
      </c>
      <c r="E84" t="s">
        <v>24</v>
      </c>
      <c r="F84">
        <v>2024</v>
      </c>
      <c r="G84" t="s">
        <v>29</v>
      </c>
      <c r="H84" t="s">
        <v>33</v>
      </c>
      <c r="I84" t="s">
        <v>37</v>
      </c>
      <c r="J84" t="s">
        <v>26</v>
      </c>
      <c r="K84">
        <v>0.85</v>
      </c>
      <c r="L84" t="s">
        <v>22</v>
      </c>
      <c r="M84" t="s">
        <v>27</v>
      </c>
      <c r="N84">
        <v>424761</v>
      </c>
      <c r="O84">
        <v>528545</v>
      </c>
      <c r="P84">
        <v>103784</v>
      </c>
    </row>
    <row r="85" spans="1:16" x14ac:dyDescent="0.35">
      <c r="A85">
        <v>84</v>
      </c>
      <c r="B85">
        <v>598420</v>
      </c>
      <c r="C85" t="s">
        <v>28</v>
      </c>
      <c r="D85" t="s">
        <v>16</v>
      </c>
      <c r="E85" t="s">
        <v>17</v>
      </c>
      <c r="F85">
        <v>2020</v>
      </c>
      <c r="G85" t="s">
        <v>29</v>
      </c>
      <c r="H85" t="s">
        <v>27</v>
      </c>
      <c r="I85" t="s">
        <v>34</v>
      </c>
      <c r="J85" t="s">
        <v>26</v>
      </c>
      <c r="K85">
        <v>0.98</v>
      </c>
      <c r="L85" t="s">
        <v>22</v>
      </c>
      <c r="M85" t="s">
        <v>43</v>
      </c>
      <c r="N85">
        <v>434894</v>
      </c>
      <c r="O85">
        <v>598420</v>
      </c>
      <c r="P85">
        <v>163526</v>
      </c>
    </row>
    <row r="86" spans="1:16" x14ac:dyDescent="0.35">
      <c r="A86">
        <v>85</v>
      </c>
      <c r="B86">
        <v>1197969</v>
      </c>
      <c r="C86" t="s">
        <v>36</v>
      </c>
      <c r="D86" t="s">
        <v>16</v>
      </c>
      <c r="E86" t="s">
        <v>44</v>
      </c>
      <c r="F86">
        <v>2023</v>
      </c>
      <c r="G86" t="s">
        <v>18</v>
      </c>
      <c r="H86" t="s">
        <v>27</v>
      </c>
      <c r="I86" t="s">
        <v>37</v>
      </c>
      <c r="J86" t="s">
        <v>47</v>
      </c>
      <c r="K86">
        <v>0.9</v>
      </c>
      <c r="L86" t="s">
        <v>30</v>
      </c>
      <c r="M86" t="s">
        <v>43</v>
      </c>
      <c r="N86">
        <v>1012204</v>
      </c>
      <c r="O86">
        <v>1197969</v>
      </c>
      <c r="P86">
        <v>185765</v>
      </c>
    </row>
    <row r="87" spans="1:16" x14ac:dyDescent="0.35">
      <c r="A87">
        <v>86</v>
      </c>
      <c r="B87">
        <v>1078022</v>
      </c>
      <c r="C87" t="s">
        <v>31</v>
      </c>
      <c r="D87" t="s">
        <v>16</v>
      </c>
      <c r="E87" t="s">
        <v>17</v>
      </c>
      <c r="F87">
        <v>2020</v>
      </c>
      <c r="G87" t="s">
        <v>45</v>
      </c>
      <c r="H87" t="s">
        <v>33</v>
      </c>
      <c r="I87" t="s">
        <v>20</v>
      </c>
      <c r="J87" t="s">
        <v>21</v>
      </c>
      <c r="K87">
        <v>0.9</v>
      </c>
      <c r="L87" t="s">
        <v>35</v>
      </c>
      <c r="M87" t="s">
        <v>43</v>
      </c>
      <c r="N87">
        <v>873093</v>
      </c>
      <c r="O87">
        <v>1078022</v>
      </c>
      <c r="P87">
        <v>204929</v>
      </c>
    </row>
    <row r="88" spans="1:16" x14ac:dyDescent="0.35">
      <c r="A88">
        <v>87</v>
      </c>
      <c r="B88">
        <v>525074</v>
      </c>
      <c r="C88" t="s">
        <v>28</v>
      </c>
      <c r="D88" t="s">
        <v>16</v>
      </c>
      <c r="E88" t="s">
        <v>44</v>
      </c>
      <c r="F88">
        <v>2022</v>
      </c>
      <c r="G88" t="s">
        <v>29</v>
      </c>
      <c r="H88" t="s">
        <v>33</v>
      </c>
      <c r="I88" t="s">
        <v>34</v>
      </c>
      <c r="J88" t="s">
        <v>47</v>
      </c>
      <c r="K88">
        <v>1</v>
      </c>
      <c r="L88" t="s">
        <v>38</v>
      </c>
      <c r="M88" t="s">
        <v>27</v>
      </c>
      <c r="N88">
        <v>404197</v>
      </c>
      <c r="O88">
        <v>525074</v>
      </c>
      <c r="P88">
        <v>120877</v>
      </c>
    </row>
    <row r="89" spans="1:16" x14ac:dyDescent="0.35">
      <c r="A89">
        <v>88</v>
      </c>
      <c r="B89">
        <v>824072</v>
      </c>
      <c r="C89" t="s">
        <v>23</v>
      </c>
      <c r="D89" t="s">
        <v>16</v>
      </c>
      <c r="E89" t="s">
        <v>24</v>
      </c>
      <c r="F89">
        <v>2020</v>
      </c>
      <c r="G89" t="s">
        <v>18</v>
      </c>
      <c r="H89" t="s">
        <v>43</v>
      </c>
      <c r="I89" t="s">
        <v>37</v>
      </c>
      <c r="J89" t="s">
        <v>21</v>
      </c>
      <c r="K89">
        <v>0.95</v>
      </c>
      <c r="L89" t="s">
        <v>35</v>
      </c>
      <c r="M89" t="s">
        <v>43</v>
      </c>
      <c r="N89">
        <v>656629</v>
      </c>
      <c r="O89">
        <v>824072</v>
      </c>
      <c r="P89">
        <v>167443</v>
      </c>
    </row>
    <row r="90" spans="1:16" x14ac:dyDescent="0.35">
      <c r="A90">
        <v>89</v>
      </c>
      <c r="B90">
        <v>998177</v>
      </c>
      <c r="C90" t="s">
        <v>31</v>
      </c>
      <c r="D90" t="s">
        <v>16</v>
      </c>
      <c r="E90" t="s">
        <v>44</v>
      </c>
      <c r="F90">
        <v>2023</v>
      </c>
      <c r="G90" t="s">
        <v>42</v>
      </c>
      <c r="H90" t="s">
        <v>33</v>
      </c>
      <c r="I90" t="s">
        <v>48</v>
      </c>
      <c r="J90" t="s">
        <v>46</v>
      </c>
      <c r="K90">
        <v>0.98</v>
      </c>
      <c r="L90" t="s">
        <v>38</v>
      </c>
      <c r="M90" t="s">
        <v>43</v>
      </c>
      <c r="N90">
        <v>645239</v>
      </c>
      <c r="O90">
        <v>998177</v>
      </c>
      <c r="P90">
        <v>352938</v>
      </c>
    </row>
    <row r="91" spans="1:16" x14ac:dyDescent="0.35">
      <c r="A91">
        <v>90</v>
      </c>
      <c r="B91">
        <v>618401</v>
      </c>
      <c r="C91" t="s">
        <v>15</v>
      </c>
      <c r="D91" t="s">
        <v>16</v>
      </c>
      <c r="E91" t="s">
        <v>41</v>
      </c>
      <c r="F91">
        <v>2024</v>
      </c>
      <c r="G91" t="s">
        <v>29</v>
      </c>
      <c r="H91" t="s">
        <v>27</v>
      </c>
      <c r="I91" t="s">
        <v>34</v>
      </c>
      <c r="J91" t="s">
        <v>26</v>
      </c>
      <c r="K91">
        <v>1</v>
      </c>
      <c r="L91" t="s">
        <v>22</v>
      </c>
      <c r="M91" t="s">
        <v>19</v>
      </c>
      <c r="N91">
        <v>423407</v>
      </c>
      <c r="O91">
        <v>618401</v>
      </c>
      <c r="P91">
        <v>194994</v>
      </c>
    </row>
    <row r="92" spans="1:16" x14ac:dyDescent="0.35">
      <c r="A92">
        <v>91</v>
      </c>
      <c r="B92">
        <v>869637</v>
      </c>
      <c r="C92" t="s">
        <v>28</v>
      </c>
      <c r="D92" t="s">
        <v>16</v>
      </c>
      <c r="E92" t="s">
        <v>44</v>
      </c>
      <c r="F92">
        <v>2023</v>
      </c>
      <c r="G92" t="s">
        <v>18</v>
      </c>
      <c r="H92" t="s">
        <v>43</v>
      </c>
      <c r="I92" t="s">
        <v>40</v>
      </c>
      <c r="J92" t="s">
        <v>47</v>
      </c>
      <c r="K92">
        <v>0.85</v>
      </c>
      <c r="L92" t="s">
        <v>22</v>
      </c>
      <c r="M92" t="s">
        <v>27</v>
      </c>
      <c r="N92">
        <v>628055</v>
      </c>
      <c r="O92">
        <v>869637</v>
      </c>
      <c r="P92">
        <v>241582</v>
      </c>
    </row>
    <row r="93" spans="1:16" x14ac:dyDescent="0.35">
      <c r="A93">
        <v>92</v>
      </c>
      <c r="B93">
        <v>1166444</v>
      </c>
      <c r="C93" t="s">
        <v>28</v>
      </c>
      <c r="D93" t="s">
        <v>16</v>
      </c>
      <c r="E93" t="s">
        <v>24</v>
      </c>
      <c r="F93">
        <v>2023</v>
      </c>
      <c r="G93" t="s">
        <v>45</v>
      </c>
      <c r="H93" t="s">
        <v>43</v>
      </c>
      <c r="I93" t="s">
        <v>48</v>
      </c>
      <c r="J93" t="s">
        <v>46</v>
      </c>
      <c r="K93">
        <v>1</v>
      </c>
      <c r="L93" t="s">
        <v>22</v>
      </c>
      <c r="M93" t="s">
        <v>19</v>
      </c>
      <c r="N93">
        <v>1008863</v>
      </c>
      <c r="O93">
        <v>1166444</v>
      </c>
      <c r="P93">
        <v>157581</v>
      </c>
    </row>
    <row r="94" spans="1:16" x14ac:dyDescent="0.35">
      <c r="A94">
        <v>93</v>
      </c>
      <c r="B94">
        <v>196626</v>
      </c>
      <c r="C94" t="s">
        <v>31</v>
      </c>
      <c r="D94" t="s">
        <v>16</v>
      </c>
      <c r="E94" t="s">
        <v>41</v>
      </c>
      <c r="F94">
        <v>2021</v>
      </c>
      <c r="G94" t="s">
        <v>29</v>
      </c>
      <c r="H94" t="s">
        <v>43</v>
      </c>
      <c r="I94" t="s">
        <v>40</v>
      </c>
      <c r="J94" t="s">
        <v>21</v>
      </c>
      <c r="K94">
        <v>0.98</v>
      </c>
      <c r="L94" t="s">
        <v>38</v>
      </c>
      <c r="M94" t="s">
        <v>43</v>
      </c>
      <c r="N94">
        <v>164634</v>
      </c>
      <c r="O94">
        <v>196626</v>
      </c>
      <c r="P94">
        <v>31992</v>
      </c>
    </row>
    <row r="95" spans="1:16" x14ac:dyDescent="0.35">
      <c r="A95">
        <v>94</v>
      </c>
      <c r="B95">
        <v>456282</v>
      </c>
      <c r="C95" t="s">
        <v>36</v>
      </c>
      <c r="D95" t="s">
        <v>16</v>
      </c>
      <c r="E95" t="s">
        <v>24</v>
      </c>
      <c r="F95">
        <v>2019</v>
      </c>
      <c r="G95" t="s">
        <v>49</v>
      </c>
      <c r="H95" t="s">
        <v>43</v>
      </c>
      <c r="I95" t="s">
        <v>34</v>
      </c>
      <c r="J95" t="s">
        <v>21</v>
      </c>
      <c r="K95">
        <v>0.98</v>
      </c>
      <c r="L95" t="s">
        <v>22</v>
      </c>
      <c r="M95" t="s">
        <v>27</v>
      </c>
      <c r="N95">
        <v>387922</v>
      </c>
      <c r="O95">
        <v>456282</v>
      </c>
      <c r="P95">
        <v>68360</v>
      </c>
    </row>
    <row r="96" spans="1:16" x14ac:dyDescent="0.35">
      <c r="A96">
        <v>95</v>
      </c>
      <c r="B96">
        <v>942119</v>
      </c>
      <c r="C96" t="s">
        <v>36</v>
      </c>
      <c r="D96" t="s">
        <v>16</v>
      </c>
      <c r="E96" t="s">
        <v>41</v>
      </c>
      <c r="F96">
        <v>2019</v>
      </c>
      <c r="G96" t="s">
        <v>49</v>
      </c>
      <c r="H96" t="s">
        <v>27</v>
      </c>
      <c r="I96" t="s">
        <v>34</v>
      </c>
      <c r="J96" t="s">
        <v>26</v>
      </c>
      <c r="K96">
        <v>0.85</v>
      </c>
      <c r="L96" t="s">
        <v>38</v>
      </c>
      <c r="M96" t="s">
        <v>19</v>
      </c>
      <c r="N96">
        <v>582773</v>
      </c>
      <c r="O96">
        <v>942119</v>
      </c>
      <c r="P96">
        <v>359346</v>
      </c>
    </row>
    <row r="97" spans="1:16" x14ac:dyDescent="0.35">
      <c r="A97">
        <v>96</v>
      </c>
      <c r="B97">
        <v>832364</v>
      </c>
      <c r="C97" t="s">
        <v>28</v>
      </c>
      <c r="D97" t="s">
        <v>16</v>
      </c>
      <c r="E97" t="s">
        <v>44</v>
      </c>
      <c r="F97">
        <v>2024</v>
      </c>
      <c r="G97" t="s">
        <v>42</v>
      </c>
      <c r="H97" t="s">
        <v>43</v>
      </c>
      <c r="I97" t="s">
        <v>37</v>
      </c>
      <c r="J97" t="s">
        <v>46</v>
      </c>
      <c r="K97">
        <v>0.85</v>
      </c>
      <c r="L97" t="s">
        <v>35</v>
      </c>
      <c r="M97" t="s">
        <v>43</v>
      </c>
      <c r="N97">
        <v>739466</v>
      </c>
      <c r="O97">
        <v>832364</v>
      </c>
      <c r="P97">
        <v>92898</v>
      </c>
    </row>
    <row r="98" spans="1:16" x14ac:dyDescent="0.35">
      <c r="A98">
        <v>97</v>
      </c>
      <c r="B98">
        <v>1110771</v>
      </c>
      <c r="C98" t="s">
        <v>23</v>
      </c>
      <c r="D98" t="s">
        <v>16</v>
      </c>
      <c r="E98" t="s">
        <v>39</v>
      </c>
      <c r="F98">
        <v>2023</v>
      </c>
      <c r="G98" t="s">
        <v>25</v>
      </c>
      <c r="H98" t="s">
        <v>33</v>
      </c>
      <c r="I98" t="s">
        <v>48</v>
      </c>
      <c r="J98" t="s">
        <v>26</v>
      </c>
      <c r="K98">
        <v>0.95</v>
      </c>
      <c r="L98" t="s">
        <v>30</v>
      </c>
      <c r="M98" t="s">
        <v>27</v>
      </c>
      <c r="N98">
        <v>673007</v>
      </c>
      <c r="O98">
        <v>1110771</v>
      </c>
      <c r="P98">
        <v>437764</v>
      </c>
    </row>
    <row r="99" spans="1:16" x14ac:dyDescent="0.35">
      <c r="A99">
        <v>98</v>
      </c>
      <c r="B99">
        <v>826805</v>
      </c>
      <c r="C99" t="s">
        <v>15</v>
      </c>
      <c r="D99" t="s">
        <v>16</v>
      </c>
      <c r="E99" t="s">
        <v>44</v>
      </c>
      <c r="F99">
        <v>2019</v>
      </c>
      <c r="G99" t="s">
        <v>32</v>
      </c>
      <c r="H99" t="s">
        <v>27</v>
      </c>
      <c r="I99" t="s">
        <v>20</v>
      </c>
      <c r="J99" t="s">
        <v>46</v>
      </c>
      <c r="K99">
        <v>0.9</v>
      </c>
      <c r="L99" t="s">
        <v>30</v>
      </c>
      <c r="M99" t="s">
        <v>43</v>
      </c>
      <c r="N99">
        <v>608928</v>
      </c>
      <c r="O99">
        <v>826805</v>
      </c>
      <c r="P99">
        <v>217877</v>
      </c>
    </row>
    <row r="100" spans="1:16" x14ac:dyDescent="0.35">
      <c r="A100">
        <v>99</v>
      </c>
      <c r="B100">
        <v>534409</v>
      </c>
      <c r="C100" t="s">
        <v>28</v>
      </c>
      <c r="D100" t="s">
        <v>16</v>
      </c>
      <c r="E100" t="s">
        <v>41</v>
      </c>
      <c r="F100">
        <v>2019</v>
      </c>
      <c r="G100" t="s">
        <v>18</v>
      </c>
      <c r="H100" t="s">
        <v>19</v>
      </c>
      <c r="I100" t="s">
        <v>40</v>
      </c>
      <c r="J100" t="s">
        <v>26</v>
      </c>
      <c r="K100">
        <v>1</v>
      </c>
      <c r="L100" t="s">
        <v>30</v>
      </c>
      <c r="M100" t="s">
        <v>43</v>
      </c>
      <c r="N100">
        <v>365493</v>
      </c>
      <c r="O100">
        <v>534409</v>
      </c>
      <c r="P100">
        <v>168916</v>
      </c>
    </row>
    <row r="101" spans="1:16" x14ac:dyDescent="0.35">
      <c r="A101">
        <v>100</v>
      </c>
      <c r="B101">
        <v>909010</v>
      </c>
      <c r="C101" t="s">
        <v>28</v>
      </c>
      <c r="D101" t="s">
        <v>16</v>
      </c>
      <c r="E101" t="s">
        <v>24</v>
      </c>
      <c r="F101">
        <v>2019</v>
      </c>
      <c r="G101" t="s">
        <v>29</v>
      </c>
      <c r="H101" t="s">
        <v>19</v>
      </c>
      <c r="I101" t="s">
        <v>34</v>
      </c>
      <c r="J101" t="s">
        <v>26</v>
      </c>
      <c r="K101">
        <v>0.85</v>
      </c>
      <c r="L101" t="s">
        <v>22</v>
      </c>
      <c r="M101" t="s">
        <v>19</v>
      </c>
      <c r="N101">
        <v>720651</v>
      </c>
      <c r="O101">
        <v>909010</v>
      </c>
      <c r="P101">
        <v>188359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49"/>
  <sheetViews>
    <sheetView topLeftCell="A8" zoomScale="80" zoomScaleNormal="80" workbookViewId="0">
      <selection activeCell="A39" sqref="A39"/>
    </sheetView>
  </sheetViews>
  <sheetFormatPr defaultRowHeight="14.5" x14ac:dyDescent="0.35"/>
  <cols>
    <col min="2" max="2" width="7.7265625" customWidth="1"/>
    <col min="3" max="3" width="14" customWidth="1"/>
    <col min="5" max="5" width="13.36328125" bestFit="1" customWidth="1"/>
    <col min="6" max="6" width="19.453125" customWidth="1"/>
    <col min="7" max="7" width="16.08984375" bestFit="1" customWidth="1"/>
    <col min="9" max="9" width="13.36328125" customWidth="1"/>
    <col min="10" max="10" width="19.453125" customWidth="1"/>
    <col min="16" max="16" width="33.1796875" customWidth="1"/>
    <col min="17" max="17" width="11" customWidth="1"/>
    <col min="18" max="20" width="25.81640625" customWidth="1"/>
    <col min="21" max="21" width="11" customWidth="1"/>
    <col min="22" max="22" width="15.26953125" bestFit="1" customWidth="1"/>
    <col min="23" max="23" width="10.7265625" bestFit="1" customWidth="1"/>
  </cols>
  <sheetData>
    <row r="2" spans="2:21" ht="18.5" x14ac:dyDescent="0.45">
      <c r="B2" s="8" t="s">
        <v>74</v>
      </c>
    </row>
    <row r="3" spans="2:21" ht="18.5" x14ac:dyDescent="0.45">
      <c r="P3" s="12" t="s">
        <v>75</v>
      </c>
    </row>
    <row r="5" spans="2:21" x14ac:dyDescent="0.35">
      <c r="B5" t="s">
        <v>52</v>
      </c>
      <c r="E5" t="s">
        <v>58</v>
      </c>
      <c r="I5" t="s">
        <v>60</v>
      </c>
    </row>
    <row r="6" spans="2:21" x14ac:dyDescent="0.35">
      <c r="B6" s="6">
        <v>67615528</v>
      </c>
      <c r="E6" s="4" t="s">
        <v>55</v>
      </c>
      <c r="F6" t="s">
        <v>51</v>
      </c>
      <c r="I6" s="4" t="s">
        <v>55</v>
      </c>
      <c r="J6" t="s">
        <v>59</v>
      </c>
      <c r="P6" s="4" t="s">
        <v>68</v>
      </c>
    </row>
    <row r="7" spans="2:21" x14ac:dyDescent="0.35">
      <c r="E7" s="5" t="s">
        <v>17</v>
      </c>
      <c r="F7" s="6">
        <v>15833032</v>
      </c>
      <c r="I7" s="5" t="s">
        <v>15</v>
      </c>
      <c r="J7" s="3">
        <v>23</v>
      </c>
      <c r="P7" t="s">
        <v>39</v>
      </c>
      <c r="Q7" t="s">
        <v>44</v>
      </c>
      <c r="R7" t="s">
        <v>41</v>
      </c>
      <c r="S7" t="s">
        <v>24</v>
      </c>
      <c r="T7" t="s">
        <v>17</v>
      </c>
      <c r="U7" t="s">
        <v>56</v>
      </c>
    </row>
    <row r="8" spans="2:21" x14ac:dyDescent="0.35">
      <c r="E8" s="5" t="s">
        <v>24</v>
      </c>
      <c r="F8" s="6">
        <v>11903312</v>
      </c>
      <c r="I8" s="5" t="s">
        <v>31</v>
      </c>
      <c r="J8" s="3">
        <v>19</v>
      </c>
    </row>
    <row r="9" spans="2:21" x14ac:dyDescent="0.35">
      <c r="B9" s="9" t="s">
        <v>53</v>
      </c>
      <c r="E9" s="5" t="s">
        <v>41</v>
      </c>
      <c r="F9" s="6">
        <v>18828391</v>
      </c>
      <c r="I9" s="5" t="s">
        <v>36</v>
      </c>
      <c r="J9" s="3">
        <v>18</v>
      </c>
    </row>
    <row r="10" spans="2:21" x14ac:dyDescent="0.35">
      <c r="B10" s="6">
        <v>16777013</v>
      </c>
      <c r="E10" s="5" t="s">
        <v>44</v>
      </c>
      <c r="F10" s="6">
        <v>12421974</v>
      </c>
      <c r="I10" s="5" t="s">
        <v>28</v>
      </c>
      <c r="J10" s="3">
        <v>24</v>
      </c>
      <c r="P10" s="4" t="s">
        <v>71</v>
      </c>
    </row>
    <row r="11" spans="2:21" x14ac:dyDescent="0.35">
      <c r="E11" s="5" t="s">
        <v>39</v>
      </c>
      <c r="F11" s="6">
        <v>8628819</v>
      </c>
      <c r="I11" s="5" t="s">
        <v>23</v>
      </c>
      <c r="J11" s="3">
        <v>16</v>
      </c>
      <c r="P11" t="s">
        <v>15</v>
      </c>
      <c r="Q11" t="s">
        <v>31</v>
      </c>
      <c r="R11" t="s">
        <v>36</v>
      </c>
      <c r="S11" t="s">
        <v>28</v>
      </c>
      <c r="T11" t="s">
        <v>23</v>
      </c>
      <c r="U11" t="s">
        <v>56</v>
      </c>
    </row>
    <row r="12" spans="2:21" x14ac:dyDescent="0.35">
      <c r="E12" s="5" t="s">
        <v>56</v>
      </c>
      <c r="F12" s="6">
        <v>67615528</v>
      </c>
      <c r="I12" s="5" t="s">
        <v>56</v>
      </c>
      <c r="J12" s="3">
        <v>100</v>
      </c>
    </row>
    <row r="13" spans="2:21" x14ac:dyDescent="0.35">
      <c r="B13" s="9" t="s">
        <v>70</v>
      </c>
    </row>
    <row r="14" spans="2:21" x14ac:dyDescent="0.35">
      <c r="B14" s="6">
        <v>100</v>
      </c>
      <c r="P14" s="4" t="s">
        <v>72</v>
      </c>
    </row>
    <row r="15" spans="2:21" x14ac:dyDescent="0.35">
      <c r="I15" s="5" t="s">
        <v>62</v>
      </c>
      <c r="P15" t="s">
        <v>34</v>
      </c>
      <c r="Q15" t="s">
        <v>56</v>
      </c>
    </row>
    <row r="16" spans="2:21" x14ac:dyDescent="0.35">
      <c r="E16" s="5" t="s">
        <v>65</v>
      </c>
      <c r="I16" s="4" t="s">
        <v>55</v>
      </c>
      <c r="J16" t="s">
        <v>61</v>
      </c>
    </row>
    <row r="17" spans="2:17" x14ac:dyDescent="0.35">
      <c r="B17" s="9" t="s">
        <v>69</v>
      </c>
      <c r="E17" s="4" t="s">
        <v>55</v>
      </c>
      <c r="F17" t="s">
        <v>57</v>
      </c>
      <c r="I17" s="5" t="s">
        <v>35</v>
      </c>
      <c r="J17" s="1">
        <v>0.93727272727272715</v>
      </c>
    </row>
    <row r="18" spans="2:17" x14ac:dyDescent="0.35">
      <c r="B18" s="10">
        <v>0.2481236706455949</v>
      </c>
      <c r="E18" s="5" t="s">
        <v>15</v>
      </c>
      <c r="F18" s="6">
        <v>586930.78260869568</v>
      </c>
      <c r="I18" s="5" t="s">
        <v>30</v>
      </c>
      <c r="J18" s="1">
        <v>0.93999999999999984</v>
      </c>
      <c r="P18" s="4" t="s">
        <v>73</v>
      </c>
    </row>
    <row r="19" spans="2:17" x14ac:dyDescent="0.35">
      <c r="E19" s="5" t="s">
        <v>31</v>
      </c>
      <c r="F19" s="6">
        <v>615749.36842105258</v>
      </c>
      <c r="I19" s="5" t="s">
        <v>22</v>
      </c>
      <c r="J19" s="1">
        <v>0.93291666666666684</v>
      </c>
      <c r="P19" t="s">
        <v>29</v>
      </c>
      <c r="Q19" t="s">
        <v>56</v>
      </c>
    </row>
    <row r="20" spans="2:17" x14ac:dyDescent="0.35">
      <c r="E20" s="5" t="s">
        <v>36</v>
      </c>
      <c r="F20" s="6">
        <v>721792.38888888888</v>
      </c>
      <c r="I20" s="5" t="s">
        <v>38</v>
      </c>
      <c r="J20" s="1">
        <v>0.93600000000000005</v>
      </c>
    </row>
    <row r="21" spans="2:17" x14ac:dyDescent="0.35">
      <c r="B21" s="2"/>
      <c r="E21" s="5" t="s">
        <v>28</v>
      </c>
      <c r="F21" s="6">
        <v>777661.45833333337</v>
      </c>
      <c r="I21" s="5" t="s">
        <v>56</v>
      </c>
      <c r="J21" s="1">
        <v>0.93669999999999998</v>
      </c>
    </row>
    <row r="22" spans="2:17" x14ac:dyDescent="0.35">
      <c r="B22" s="9"/>
      <c r="E22" s="5" t="s">
        <v>23</v>
      </c>
      <c r="F22" s="6">
        <v>672546.5</v>
      </c>
    </row>
    <row r="23" spans="2:17" x14ac:dyDescent="0.35">
      <c r="E23" s="5" t="s">
        <v>56</v>
      </c>
      <c r="F23" s="6">
        <v>676155.28</v>
      </c>
    </row>
    <row r="24" spans="2:17" x14ac:dyDescent="0.35">
      <c r="F24" s="6"/>
      <c r="I24" s="5" t="s">
        <v>64</v>
      </c>
    </row>
    <row r="25" spans="2:17" x14ac:dyDescent="0.35">
      <c r="B25" s="2"/>
      <c r="F25" s="6"/>
      <c r="I25" s="4" t="s">
        <v>55</v>
      </c>
      <c r="J25" t="s">
        <v>59</v>
      </c>
    </row>
    <row r="26" spans="2:17" x14ac:dyDescent="0.35">
      <c r="B26" s="9"/>
      <c r="E26" s="5" t="s">
        <v>66</v>
      </c>
      <c r="I26" s="5" t="s">
        <v>25</v>
      </c>
      <c r="J26" s="3">
        <v>12</v>
      </c>
    </row>
    <row r="27" spans="2:17" x14ac:dyDescent="0.35">
      <c r="E27" s="4" t="s">
        <v>55</v>
      </c>
      <c r="F27" t="s">
        <v>59</v>
      </c>
      <c r="G27" t="s">
        <v>54</v>
      </c>
      <c r="I27" s="5" t="s">
        <v>42</v>
      </c>
      <c r="J27" s="3">
        <v>11</v>
      </c>
    </row>
    <row r="28" spans="2:17" x14ac:dyDescent="0.35">
      <c r="E28" s="5" t="s">
        <v>48</v>
      </c>
      <c r="F28" s="3">
        <v>13</v>
      </c>
      <c r="G28" s="6">
        <v>9930340</v>
      </c>
      <c r="I28" s="5" t="s">
        <v>49</v>
      </c>
      <c r="J28" s="3">
        <v>16</v>
      </c>
    </row>
    <row r="29" spans="2:17" x14ac:dyDescent="0.35">
      <c r="E29" s="5" t="s">
        <v>34</v>
      </c>
      <c r="F29" s="3">
        <v>31</v>
      </c>
      <c r="G29" s="6">
        <v>19364615</v>
      </c>
      <c r="I29" s="5" t="s">
        <v>45</v>
      </c>
      <c r="J29" s="3">
        <v>10</v>
      </c>
    </row>
    <row r="30" spans="2:17" x14ac:dyDescent="0.35">
      <c r="B30" s="2"/>
      <c r="E30" s="5" t="s">
        <v>40</v>
      </c>
      <c r="F30" s="3">
        <v>20</v>
      </c>
      <c r="G30" s="6">
        <v>13443765</v>
      </c>
      <c r="I30" s="5" t="s">
        <v>18</v>
      </c>
      <c r="J30" s="3">
        <v>13</v>
      </c>
    </row>
    <row r="31" spans="2:17" x14ac:dyDescent="0.35">
      <c r="B31" s="9"/>
      <c r="E31" s="5" t="s">
        <v>20</v>
      </c>
      <c r="F31" s="3">
        <v>19</v>
      </c>
      <c r="G31" s="6">
        <v>13402676</v>
      </c>
      <c r="I31" s="5" t="s">
        <v>29</v>
      </c>
      <c r="J31" s="3">
        <v>25</v>
      </c>
    </row>
    <row r="32" spans="2:17" x14ac:dyDescent="0.35">
      <c r="E32" s="5" t="s">
        <v>37</v>
      </c>
      <c r="F32" s="3">
        <v>17</v>
      </c>
      <c r="G32" s="6">
        <v>11474132</v>
      </c>
      <c r="I32" s="5" t="s">
        <v>32</v>
      </c>
      <c r="J32" s="3">
        <v>13</v>
      </c>
    </row>
    <row r="33" spans="2:10" x14ac:dyDescent="0.35">
      <c r="E33" s="5" t="s">
        <v>56</v>
      </c>
      <c r="F33" s="3">
        <v>100</v>
      </c>
      <c r="G33" s="6">
        <v>67615528</v>
      </c>
      <c r="I33" s="5" t="s">
        <v>56</v>
      </c>
      <c r="J33" s="3">
        <v>100</v>
      </c>
    </row>
    <row r="34" spans="2:10" x14ac:dyDescent="0.35">
      <c r="B34" s="2"/>
    </row>
    <row r="35" spans="2:10" x14ac:dyDescent="0.35">
      <c r="B35" s="9"/>
    </row>
    <row r="36" spans="2:10" x14ac:dyDescent="0.35">
      <c r="I36" s="5" t="s">
        <v>63</v>
      </c>
    </row>
    <row r="37" spans="2:10" x14ac:dyDescent="0.35">
      <c r="E37" s="5" t="s">
        <v>67</v>
      </c>
      <c r="I37" s="4" t="s">
        <v>55</v>
      </c>
      <c r="J37" t="s">
        <v>57</v>
      </c>
    </row>
    <row r="38" spans="2:10" x14ac:dyDescent="0.35">
      <c r="E38" s="4" t="s">
        <v>55</v>
      </c>
      <c r="F38" t="s">
        <v>57</v>
      </c>
      <c r="I38" s="5">
        <v>2019</v>
      </c>
      <c r="J38" s="6">
        <v>622234.875</v>
      </c>
    </row>
    <row r="39" spans="2:10" x14ac:dyDescent="0.35">
      <c r="E39" s="5" t="s">
        <v>35</v>
      </c>
      <c r="F39" s="6">
        <v>688357.18181818177</v>
      </c>
      <c r="I39" s="5">
        <v>2020</v>
      </c>
      <c r="J39" s="6">
        <v>578678</v>
      </c>
    </row>
    <row r="40" spans="2:10" x14ac:dyDescent="0.35">
      <c r="E40" s="5" t="s">
        <v>30</v>
      </c>
      <c r="F40" s="6">
        <v>630601.48275862064</v>
      </c>
      <c r="I40" s="5">
        <v>2021</v>
      </c>
      <c r="J40" s="6">
        <v>699460.84615384613</v>
      </c>
    </row>
    <row r="41" spans="2:10" x14ac:dyDescent="0.35">
      <c r="E41" s="5" t="s">
        <v>22</v>
      </c>
      <c r="F41" s="6">
        <v>700988.54166666663</v>
      </c>
      <c r="I41" s="5">
        <v>2022</v>
      </c>
      <c r="J41" s="6">
        <v>724737.93333333335</v>
      </c>
    </row>
    <row r="42" spans="2:10" x14ac:dyDescent="0.35">
      <c r="E42" s="5" t="s">
        <v>38</v>
      </c>
      <c r="F42" s="6">
        <v>694420.08</v>
      </c>
      <c r="I42" s="5">
        <v>2023</v>
      </c>
      <c r="J42" s="6">
        <v>816752.63157894742</v>
      </c>
    </row>
    <row r="43" spans="2:10" x14ac:dyDescent="0.35">
      <c r="E43" s="5" t="s">
        <v>56</v>
      </c>
      <c r="F43" s="6">
        <v>676155.28</v>
      </c>
      <c r="I43" s="5">
        <v>2024</v>
      </c>
      <c r="J43" s="6">
        <v>613510.90909090906</v>
      </c>
    </row>
    <row r="44" spans="2:10" x14ac:dyDescent="0.35">
      <c r="I44" s="5" t="s">
        <v>56</v>
      </c>
      <c r="J44" s="6">
        <v>676155.28</v>
      </c>
    </row>
    <row r="45" spans="2:10" x14ac:dyDescent="0.35">
      <c r="J45" s="6"/>
    </row>
    <row r="46" spans="2:10" x14ac:dyDescent="0.35">
      <c r="J46" s="6"/>
    </row>
    <row r="47" spans="2:10" x14ac:dyDescent="0.35">
      <c r="J47" s="6"/>
    </row>
    <row r="48" spans="2:10" x14ac:dyDescent="0.35">
      <c r="J48" s="6"/>
    </row>
    <row r="49" spans="10:10" x14ac:dyDescent="0.35">
      <c r="J49" s="6"/>
    </row>
  </sheetData>
  <pageMargins left="0.7" right="0.7" top="0.75" bottom="0.75" header="0.3" footer="0.3"/>
  <pageSetup orientation="portrait" r:id="rId17"/>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3" zoomScale="73" zoomScaleNormal="73" workbookViewId="0">
      <selection activeCell="B10" sqref="B10"/>
    </sheetView>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73" zoomScaleNormal="73" workbookViewId="0">
      <selection activeCell="B8" sqref="B8"/>
    </sheetView>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Summary</vt:lpstr>
      <vt:lpstr>Nigerian Iphone Store</vt:lpstr>
      <vt:lpstr>Pivot Table</vt:lpstr>
      <vt:lpstr>Monetory Insight</vt:lpstr>
      <vt:lpstr>Buyers' Performance</vt:lpstr>
      <vt:lpstr>iphoe</vt:lpstr>
      <vt:lpstr>iphone</vt:lpstr>
      <vt:lpstr>lagos</vt:lpstr>
      <vt:lpstr>percent</vt:lpstr>
      <vt:lpstr>profit</vt:lpstr>
      <vt:lpstr>revenue</vt:lpstr>
      <vt:lpstr>sil</vt:lpstr>
      <vt:lpstr>silver</vt:lpstr>
      <vt:lpstr>sold</vt:lpstr>
      <vt:lpstr>tb</vt:lpstr>
      <vt:lpstr>tbb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2025-07-25T22:40:46Z</dcterms:created>
  <dcterms:modified xsi:type="dcterms:W3CDTF">2025-07-31T02:12:37Z</dcterms:modified>
</cp:coreProperties>
</file>